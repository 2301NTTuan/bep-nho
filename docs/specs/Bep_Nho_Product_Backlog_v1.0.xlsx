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fb93be272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f31c4c363c54a15"/>
    <x:sheet xmlns:r="http://schemas.openxmlformats.org/officeDocument/2006/relationships" name="Product Backlog" sheetId="2" r:id="R0b7a620c23a144d8"/>
    <x:sheet xmlns:r="http://schemas.openxmlformats.org/officeDocument/2006/relationships" name="Release Plan" sheetId="3" r:id="R1da3e9d5436d4afc"/>
    <x:sheet xmlns:r="http://schemas.openxmlformats.org/officeDocument/2006/relationships" name="Traceability" sheetId="4" r:id="R25cba66dc09c4312"/>
    <x:sheet xmlns:r="http://schemas.openxmlformats.org/officeDocument/2006/relationships" name="Definition of Done" sheetId="5" r:id="Rfcb41524bc9d418d"/>
    <x:sheet xmlns:r="http://schemas.openxmlformats.org/officeDocument/2006/relationships" name="Lists" sheetId="6" r:id="R0d0bd30c5ac9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3"/>
      <x:color rgb="FF17365D"/>
      <x:name val="Carlito"/>
    </x:font>
    <x:font>
      <x:sz val="1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DE9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0228d22bc4f3a" /><Relationship Type="http://schemas.openxmlformats.org/officeDocument/2006/relationships/theme" Target="/xl/theme/theme1.xml" Id="R55403e4b02d64975" /><Relationship Type="http://schemas.openxmlformats.org/officeDocument/2006/relationships/sharedStrings" Target="/xl/sharedStrings.xml" Id="R5f3baf52cab7496d" /><Relationship Type="http://schemas.openxmlformats.org/officeDocument/2006/relationships/worksheet" Target="/xl/worksheets/sheet1.xml" Id="Rbf31c4c363c54a15" /><Relationship Type="http://schemas.openxmlformats.org/officeDocument/2006/relationships/worksheet" Target="/xl/worksheets/sheet2.xml" Id="R0b7a620c23a144d8" /><Relationship Type="http://schemas.openxmlformats.org/officeDocument/2006/relationships/worksheet" Target="/xl/worksheets/sheet3.xml" Id="R1da3e9d5436d4afc" /><Relationship Type="http://schemas.openxmlformats.org/officeDocument/2006/relationships/worksheet" Target="/xl/worksheets/sheet4.xml" Id="R25cba66dc09c4312" /><Relationship Type="http://schemas.openxmlformats.org/officeDocument/2006/relationships/worksheet" Target="/xl/worksheets/sheet5.xml" Id="Rfcb41524bc9d418d" /><Relationship Type="http://schemas.openxmlformats.org/officeDocument/2006/relationships/worksheet" Target="/xl/worksheets/sheet6.xml" Id="R0d0bd30c5ac946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93e12c0bd247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Backlog items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Items</c:v>
          </c:tx>
          <c:cat>
            <c:strRef>
              <c:f>'Overview'!$D$4:$D$11</c:f>
              <c:strCache>
                <c:ptCount val="0"/>
              </c:strCache>
            </c:strRef>
          </c:cat>
          <c:val>
            <c:numRef>
              <c:f>'Overview'!$E$4:$E$11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93e12c0bd247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Table" displayName="ProductBacklogTable" ref="A1:R128" headerRowCount="1" totalsRowCount="0" totalsRowShown="0">
  <x:tableColumns count="18">
    <x:tableColumn id="1" name="Backlog ID"/>
    <x:tableColumn id="2" name="Epic"/>
    <x:tableColumn id="3" name="Feature / Req"/>
    <x:tableColumn id="4" name="User Story / Goal"/>
    <x:tableColumn id="5" name="Requirement ID(s)"/>
    <x:tableColumn id="6" name="Priority"/>
    <x:tableColumn id="7" name="Phase"/>
    <x:tableColumn id="8" name="Dependencies"/>
    <x:tableColumn id="9" name="Backend Task"/>
    <x:tableColumn id="10" name="Frontend Task"/>
    <x:tableColumn id="11" name="DB/Data Task"/>
    <x:tableColumn id="12" name="AI/Data Task"/>
    <x:tableColumn id="13" name="QA/Test Task"/>
    <x:tableColumn id="14" name="Acceptance Criteria"/>
    <x:tableColumn id="15" name="Estimate (SP)"/>
    <x:tableColumn id="16" name="Status"/>
    <x:tableColumn id="17" name="Owner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easePlanTable" displayName="ReleasePlanTable" ref="A1:G9" headerRowCount="1" totalsRowCount="0" totalsRowShown="0">
  <x:tableColumns count="7">
    <x:tableColumn id="1" name="Phase"/>
    <x:tableColumn id="2" name="Goal"/>
    <x:tableColumn id="3" name="Key Deliverables"/>
    <x:tableColumn id="4" name="Entry Criteria"/>
    <x:tableColumn id="5" name="Exit / Quality Gate"/>
    <x:tableColumn id="6" name="Primary KPIs"/>
    <x:tableColumn id="7" name="Recommended Sequ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H182" headerRowCount="1" totalsRowCount="0" totalsRowShown="0">
  <x:tableColumns count="8">
    <x:tableColumn id="1" name="Requirement ID"/>
    <x:tableColumn id="2" name="Type"/>
    <x:tableColumn id="3" name="Domain"/>
    <x:tableColumn id="4" name="Requirement"/>
    <x:tableColumn id="5" name="Priority"/>
    <x:tableColumn id="6" name="Acceptance / Rule"/>
    <x:tableColumn id="7" name="Mapped Backlog ID"/>
    <x:tableColumn id="8" name="Coverage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DTable" displayName="DoDTable" ref="A1:C14" headerRowCount="1" totalsRowCount="0" totalsRowShown="0">
  <x:tableColumns count="3">
    <x:tableColumn id="1" name="Category"/>
    <x:tableColumn id="2" name="Definition of Done / Gate"/>
    <x:tableColumn id="3" name="Required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ef086cc455c4a6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f3b0d5dabd4b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d0eaccd57d47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3f175fbd5d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1cca2ffc984743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4" max="4" width="26" hidden="0" customWidth="1"/>
    <x:col min="5" max="5" width="14" hidden="0" customWidth="1"/>
    <x:col min="6" max="6" width="14" hidden="0" customWidth="1"/>
  </x:cols>
  <x:sheetData>
    <x:row r="1" ht="32" customHeight="1">
      <x:c r="A1" s="18" t="str">
        <x:v>BẾP NHỚ – DEVELOPMENT CONTROL CENTER</x:v>
      </x:c>
      <x:c r="B1" s="18"/>
      <x:c r="C1" s="18"/>
      <x:c r="D1" s="18"/>
      <x:c r="E1" s="18"/>
      <x:c r="F1" s="18"/>
      <x:c r="G1" s="18"/>
      <x:c r="H1" s="18"/>
    </x:row>
    <x:row r="3">
      <x:c r="A3" s="6" t="str">
        <x:v>Metric</x:v>
      </x:c>
      <x:c r="B3" s="6" t="str">
        <x:v>Value</x:v>
      </x:c>
      <x:c r="D3" s="6" t="str">
        <x:v>Phase</x:v>
      </x:c>
      <x:c r="E3" s="6" t="str">
        <x:v>Items</x:v>
      </x:c>
      <x:c r="F3" s="6" t="str">
        <x:v>Story Points</x:v>
      </x:c>
    </x:row>
    <x:row r="4">
      <x:c r="A4" s="22" t="str">
        <x:v>Total backlog items</x:v>
      </x:c>
      <x:c r="B4" s="22" t="n">
        <x:f>COUNTA('Product Backlog'!A2:A128)</x:f>
        <x:v>127</x:v>
      </x:c>
      <x:c r="D4" s="12" t="str">
        <x:v>P0 Foundation</x:v>
      </x:c>
      <x:c r="E4" s="12" t="n">
        <x:f>COUNTIF('Product Backlog'!G2:G128,D4)</x:f>
        <x:v>12</x:v>
      </x:c>
      <x:c r="F4" s="12" t="n">
        <x:f>SUMIF('Product Backlog'!G2:G128,D4,'Product Backlog'!O2:O128)</x:f>
        <x:v>69</x:v>
      </x:c>
    </x:row>
    <x:row r="5">
      <x:c r="A5" s="22" t="str">
        <x:v>Must items</x:v>
      </x:c>
      <x:c r="B5" s="22" t="n">
        <x:f>COUNTIF('Product Backlog'!F2:F128,"Must")</x:f>
        <x:v>73</x:v>
      </x:c>
      <x:c r="D5" s="12" t="str">
        <x:v>P1 Core Cooking</x:v>
      </x:c>
      <x:c r="E5" s="12" t="n">
        <x:f>COUNTIF('Product Backlog'!G2:G128,D5)</x:f>
        <x:v>22</x:v>
      </x:c>
      <x:c r="F5" s="12" t="n">
        <x:f>SUMIF('Product Backlog'!G2:G128,D5,'Product Backlog'!O2:O128)</x:f>
        <x:v>108</x:v>
      </x:c>
    </x:row>
    <x:row r="6">
      <x:c r="A6" s="22" t="str">
        <x:v>In Progress</x:v>
      </x:c>
      <x:c r="B6" s="22" t="n">
        <x:f>COUNTIF('Product Backlog'!P2:P128,"In Progress")</x:f>
        <x:v>0</x:v>
      </x:c>
      <x:c r="D6" s="12" t="str">
        <x:v>P2 Personalization</x:v>
      </x:c>
      <x:c r="E6" s="12" t="n">
        <x:f>COUNTIF('Product Backlog'!G2:G128,D6)</x:f>
        <x:v>11</x:v>
      </x:c>
      <x:c r="F6" s="12" t="n">
        <x:f>SUMIF('Product Backlog'!G2:G128,D6,'Product Backlog'!O2:O128)</x:f>
        <x:v>77</x:v>
      </x:c>
    </x:row>
    <x:row r="7">
      <x:c r="A7" s="22" t="str">
        <x:v>Done</x:v>
      </x:c>
      <x:c r="B7" s="22" t="n">
        <x:f>COUNTIF('Product Backlog'!P2:P128,"Done")</x:f>
        <x:v>0</x:v>
      </x:c>
      <x:c r="D7" s="12" t="str">
        <x:v>P3 Household &amp; Planning</x:v>
      </x:c>
      <x:c r="E7" s="12" t="n">
        <x:f>COUNTIF('Product Backlog'!G2:G128,D7)</x:f>
        <x:v>11</x:v>
      </x:c>
      <x:c r="F7" s="12" t="n">
        <x:f>SUMIF('Product Backlog'!G2:G128,D7,'Product Backlog'!O2:O128)</x:f>
        <x:v>67</x:v>
      </x:c>
    </x:row>
    <x:row r="8">
      <x:c r="D8" s="12" t="str">
        <x:v>P4 Utility</x:v>
      </x:c>
      <x:c r="E8" s="12" t="n">
        <x:f>COUNTIF('Product Backlog'!G2:G128,D8)</x:f>
        <x:v>15</x:v>
      </x:c>
      <x:c r="F8" s="12" t="n">
        <x:f>SUMIF('Product Backlog'!G2:G128,D8,'Product Backlog'!O2:O128)</x:f>
        <x:v>71</x:v>
      </x:c>
    </x:row>
    <x:row r="9">
      <x:c r="D9" s="12" t="str">
        <x:v>P5 Discovery &amp; Social</x:v>
      </x:c>
      <x:c r="E9" s="12" t="n">
        <x:f>COUNTIF('Product Backlog'!G2:G128,D9)</x:f>
        <x:v>22</x:v>
      </x:c>
      <x:c r="F9" s="12" t="n">
        <x:f>SUMIF('Product Backlog'!G2:G128,D9,'Product Backlog'!O2:O128)</x:f>
        <x:v>100</x:v>
      </x:c>
    </x:row>
    <x:row r="10">
      <x:c r="A10" s="25" t="str">
        <x:v>Recommended first execution slice</x:v>
      </x:c>
      <x:c r="B10" s="25"/>
      <x:c r="C10" s="25"/>
      <x:c r="D10" s="26" t="str">
        <x:v>P6 Business &amp; Growth</x:v>
      </x:c>
      <x:c r="E10" s="26" t="n">
        <x:f>COUNTIF('Product Backlog'!G2:G128,D10)</x:f>
        <x:v>24</x:v>
      </x:c>
      <x:c r="F10" s="26" t="n">
        <x:f>SUMIF('Product Backlog'!G2:G128,D10,'Product Backlog'!O2:O128)</x:f>
        <x:v>131</x:v>
      </x:c>
      <x:c r="G10" s="25"/>
      <x:c r="H10" s="25"/>
    </x:row>
    <x:row r="11">
      <x:c r="A11" s="33" t="str">
        <x:v>P0 Foundation → P1 vertical slice: Account → Verified Recipe → Cook Mode → Feedback → Taste Signal → Personal Recipe V2. Do not start Social/Payment before this loop is demonstrably reliable and measurable.</x:v>
      </x:c>
      <x:c r="B11" s="33"/>
      <x:c r="C11" s="33"/>
      <x:c r="D11" s="33" t="str">
        <x:v>P7 Production &amp; Native</x:v>
      </x:c>
      <x:c r="E11" s="33" t="n">
        <x:f>COUNTIF('Product Backlog'!G2:G128,D11)</x:f>
        <x:v>10</x:v>
      </x:c>
      <x:c r="F11" s="33" t="n">
        <x:f>SUMIF('Product Backlog'!G2:G128,D11,'Product Backlog'!O2:O128)</x:f>
        <x:v>62</x:v>
      </x:c>
      <x:c r="G11" s="33"/>
      <x:c r="H11" s="33"/>
    </x:row>
    <x:row r="12">
      <x:c r="A12" s="33"/>
      <x:c r="B12" s="33"/>
      <x:c r="C12" s="33"/>
      <x:c r="D12" s="33"/>
      <x:c r="E12" s="33"/>
      <x:c r="F12" s="33"/>
      <x:c r="G12" s="33"/>
      <x:c r="H12" s="33"/>
    </x:row>
    <x:row r="13">
      <x:c r="A13" s="33"/>
      <x:c r="B13" s="33"/>
      <x:c r="C13" s="33"/>
      <x:c r="D13" s="33"/>
      <x:c r="E13" s="33"/>
      <x:c r="F13" s="33"/>
      <x:c r="G13" s="33"/>
      <x:c r="H13" s="33"/>
    </x:row>
    <x:row r="14">
      <x:c r="A14" s="33"/>
      <x:c r="B14" s="33"/>
      <x:c r="C14" s="33"/>
      <x:c r="D14" s="33"/>
      <x:c r="E14" s="33"/>
      <x:c r="F14" s="33"/>
      <x:c r="G14" s="33"/>
      <x:c r="H14" s="33"/>
    </x:row>
    <x:row r="15">
      <x:c r="A15" s="33"/>
      <x:c r="B15" s="33"/>
      <x:c r="C15" s="33"/>
      <x:c r="D15" s="33"/>
      <x:c r="E15" s="33"/>
      <x:c r="F15" s="33"/>
      <x:c r="G15" s="33"/>
      <x:c r="H15" s="33"/>
    </x:row>
  </x:sheetData>
  <x:mergeCells>
    <x:mergeCell ref="A1:H1"/>
    <x:mergeCell ref="A10:H10"/>
    <x:mergeCell ref="A11:H15"/>
  </x:mergeCells>
  <x:pageMargins left="0.7" right="0.7" top="0.75" bottom="0.75" header="0.3" footer="0.3"/>
  <x:drawing xmlns:r="http://schemas.openxmlformats.org/officeDocument/2006/relationships" r:id="Rfef086cc455c4a61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42" hidden="0" customWidth="1"/>
    <x:col min="5" max="5" width="20" hidden="0" customWidth="1"/>
    <x:col min="6" max="6" width="10" hidden="0" customWidth="1"/>
    <x:col min="7" max="7" width="22" hidden="0" customWidth="1"/>
    <x:col min="8" max="8" width="28" hidden="0" customWidth="1"/>
    <x:col min="9" max="9" width="34" hidden="0" customWidth="1"/>
    <x:col min="10" max="10" width="32" hidden="0" customWidth="1"/>
    <x:col min="11" max="11" width="30" hidden="0" customWidth="1"/>
    <x:col min="12" max="12" width="30" hidden="0" customWidth="1"/>
    <x:col min="13" max="13" width="32" hidden="0" customWidth="1"/>
    <x:col min="14" max="14" width="38" hidden="0" customWidth="1"/>
    <x:col min="15" max="15" width="12" hidden="0" customWidth="1"/>
    <x:col min="16" max="16" width="14" hidden="0" customWidth="1"/>
    <x:col min="17" max="17" width="14" hidden="0" customWidth="1"/>
    <x:col min="18" max="18" width="24" hidden="0" customWidth="1"/>
  </x:cols>
  <x:sheetData>
    <x:row r="1" ht="34" customHeight="1">
      <x:c r="A1" s="6" t="str">
        <x:v>Backlog ID</x:v>
      </x:c>
      <x:c r="B1" s="6" t="str">
        <x:v>Epic</x:v>
      </x:c>
      <x:c r="C1" s="6" t="str">
        <x:v>Feature / Req</x:v>
      </x:c>
      <x:c r="D1" s="6" t="str">
        <x:v>User Story / Goal</x:v>
      </x:c>
      <x:c r="E1" s="6" t="str">
        <x:v>Requirement ID(s)</x:v>
      </x:c>
      <x:c r="F1" s="6" t="str">
        <x:v>Priority</x:v>
      </x:c>
      <x:c r="G1" s="6" t="str">
        <x:v>Phase</x:v>
      </x:c>
      <x:c r="H1" s="6" t="str">
        <x:v>Dependencies</x:v>
      </x:c>
      <x:c r="I1" s="6" t="str">
        <x:v>Backend Task</x:v>
      </x:c>
      <x:c r="J1" s="6" t="str">
        <x:v>Frontend Task</x:v>
      </x:c>
      <x:c r="K1" s="6" t="str">
        <x:v>DB/Data Task</x:v>
      </x:c>
      <x:c r="L1" s="6" t="str">
        <x:v>AI/Data Task</x:v>
      </x:c>
      <x:c r="M1" s="6" t="str">
        <x:v>QA/Test Task</x:v>
      </x:c>
      <x:c r="N1" s="6" t="str">
        <x:v>Acceptance Criteria</x:v>
      </x:c>
      <x:c r="O1" s="6" t="str">
        <x:v>Estimate (SP)</x:v>
      </x:c>
      <x:c r="P1" s="6" t="str">
        <x:v>Status</x:v>
      </x:c>
      <x:c r="Q1" s="6" t="str">
        <x:v>Owner</x:v>
      </x:c>
      <x:c r="R1" s="6" t="str">
        <x:v>Notes</x:v>
      </x:c>
    </x:row>
    <x:row r="2">
      <x:c r="A2" s="14" t="str">
        <x:v>BN-P0-001</x:v>
      </x:c>
      <x:c r="B2" s="14" t="str">
        <x:v>Engineering Foundation</x:v>
      </x:c>
      <x:c r="C2" s="14" t="str">
        <x:v>Repository &amp; Monorepo</x:v>
      </x:c>
      <x:c r="D2" s="14" t="str">
        <x:v>Thiết lập monorepo apps/web, apps/api, apps/admin, packages/*, lint/format/commit conventions.</x:v>
      </x:c>
      <x:c r="E2" s="14" t="str">
        <x:v>ARCH</x:v>
      </x:c>
      <x:c r="F2" s="14" t="str">
        <x:v>Must</x:v>
      </x:c>
      <x:c r="G2" s="14" t="str">
        <x:v>P0 Foundation</x:v>
      </x:c>
      <x:c r="H2" s="14" t="str"/>
      <x:c r="I2" s="14" t="str">
        <x:v>Initialize workspace, dependency boundaries, scripts</x:v>
      </x:c>
      <x:c r="J2" s="14" t="str">
        <x:v>N/A</x:v>
      </x:c>
      <x:c r="K2" s="14" t="str">
        <x:v>Repo layout + config</x:v>
      </x:c>
      <x:c r="L2" s="14" t="str">
        <x:v>N/A</x:v>
      </x:c>
      <x:c r="M2" s="14" t="str">
        <x:v>CI validates lint/typecheck</x:v>
      </x:c>
      <x:c r="N2" s="14" t="str">
        <x:v>Repo clone → install → lint/typecheck succeeds</x:v>
      </x:c>
      <x:c r="O2" s="14" t="str">
        <x:v>5</x:v>
      </x:c>
      <x:c r="P2" s="14" t="str">
        <x:v>Not Started</x:v>
      </x:c>
      <x:c r="Q2" s="14" t="str">
        <x:v>Unassigned</x:v>
      </x:c>
      <x:c r="R2" s="14" t="str"/>
    </x:row>
    <x:row r="3">
      <x:c r="A3" s="14" t="str">
        <x:v>BN-P0-002</x:v>
      </x:c>
      <x:c r="B3" s="14" t="str">
        <x:v>Engineering Foundation</x:v>
      </x:c>
      <x:c r="C3" s="14" t="str">
        <x:v>Local Dev Stack</x:v>
      </x:c>
      <x:c r="D3" s="14" t="str">
        <x:v>Docker Compose cho PostgreSQL, Redis, object storage emulator và mail/test dependencies.</x:v>
      </x:c>
      <x:c r="E3" s="14" t="str">
        <x:v>ARCH</x:v>
      </x:c>
      <x:c r="F3" s="14" t="str">
        <x:v>Must</x:v>
      </x:c>
      <x:c r="G3" s="14" t="str">
        <x:v>P0 Foundation</x:v>
      </x:c>
      <x:c r="H3" s="14" t="str">
        <x:v>BN-P0-001</x:v>
      </x:c>
      <x:c r="I3" s="14" t="str">
        <x:v>Compose services + health checks</x:v>
      </x:c>
      <x:c r="J3" s="14" t="str">
        <x:v>N/A</x:v>
      </x:c>
      <x:c r="K3" s="14" t="str">
        <x:v>Init local databases</x:v>
      </x:c>
      <x:c r="L3" s="14" t="str">
        <x:v>N/A</x:v>
      </x:c>
      <x:c r="M3" s="14" t="str">
        <x:v>Smoke test service readiness</x:v>
      </x:c>
      <x:c r="N3" s="14" t="str">
        <x:v>docker compose up produces healthy stack</x:v>
      </x:c>
      <x:c r="O3" s="14" t="str">
        <x:v>5</x:v>
      </x:c>
      <x:c r="P3" s="14" t="str">
        <x:v>Not Started</x:v>
      </x:c>
      <x:c r="Q3" s="14" t="str">
        <x:v>Unassigned</x:v>
      </x:c>
      <x:c r="R3" s="14" t="str"/>
    </x:row>
    <x:row r="4">
      <x:c r="A4" s="14" t="str">
        <x:v>BN-P0-003</x:v>
      </x:c>
      <x:c r="B4" s="14" t="str">
        <x:v>Engineering Foundation</x:v>
      </x:c>
      <x:c r="C4" s="14" t="str">
        <x:v>CI/CD Baseline</x:v>
      </x:c>
      <x:c r="D4" s="14" t="str">
        <x:v>CI lint, typecheck, unit test, build, security scan; environments dev/staging/prod.</x:v>
      </x:c>
      <x:c r="E4" s="14" t="str">
        <x:v>NFR-SEC-002,NFR-MNT-001</x:v>
      </x:c>
      <x:c r="F4" s="14" t="str">
        <x:v>Must</x:v>
      </x:c>
      <x:c r="G4" s="14" t="str">
        <x:v>P0 Foundation</x:v>
      </x:c>
      <x:c r="H4" s="14" t="str">
        <x:v>BN-P0-001</x:v>
      </x:c>
      <x:c r="I4" s="14" t="str">
        <x:v>CI workflows + artifact build</x:v>
      </x:c>
      <x:c r="J4" s="14" t="str">
        <x:v>N/A</x:v>
      </x:c>
      <x:c r="K4" s="14" t="str">
        <x:v>Migration gate</x:v>
      </x:c>
      <x:c r="L4" s="14" t="str">
        <x:v>N/A</x:v>
      </x:c>
      <x:c r="M4" s="14" t="str">
        <x:v>Pipeline tests</x:v>
      </x:c>
      <x:c r="N4" s="14" t="str">
        <x:v>PR cannot merge when gates fail</x:v>
      </x:c>
      <x:c r="O4" s="14" t="str">
        <x:v>8</x:v>
      </x:c>
      <x:c r="P4" s="14" t="str">
        <x:v>Not Started</x:v>
      </x:c>
      <x:c r="Q4" s="14" t="str">
        <x:v>Unassigned</x:v>
      </x:c>
      <x:c r="R4" s="14" t="str"/>
    </x:row>
    <x:row r="5">
      <x:c r="A5" s="14" t="str">
        <x:v>BN-P0-004</x:v>
      </x:c>
      <x:c r="B5" s="14" t="str">
        <x:v>Engineering Foundation</x:v>
      </x:c>
      <x:c r="C5" s="14" t="str">
        <x:v>API Contract Baseline</x:v>
      </x:c>
      <x:c r="D5" s="14" t="str">
        <x:v>OpenAPI conventions, versioning, error envelope, pagination, idempotency.</x:v>
      </x:c>
      <x:c r="E5" s="14" t="str">
        <x:v>NFR-MNT-001,NFR-REL-001</x:v>
      </x:c>
      <x:c r="F5" s="14" t="str">
        <x:v>Must</x:v>
      </x:c>
      <x:c r="G5" s="14" t="str">
        <x:v>P0 Foundation</x:v>
      </x:c>
      <x:c r="H5" s="14" t="str">
        <x:v>BN-P0-001</x:v>
      </x:c>
      <x:c r="I5" s="14" t="str">
        <x:v>API framework/middleware</x:v>
      </x:c>
      <x:c r="J5" s="14" t="str">
        <x:v>Generate typed client later</x:v>
      </x:c>
      <x:c r="K5" s="14" t="str">
        <x:v>N/A</x:v>
      </x:c>
      <x:c r="L5" s="14" t="str">
        <x:v>N/A</x:v>
      </x:c>
      <x:c r="M5" s="14" t="str">
        <x:v>Contract tests</x:v>
      </x:c>
      <x:c r="N5" s="14" t="str">
        <x:v>OpenAPI validates and error format consistent</x:v>
      </x:c>
      <x:c r="O5" s="14" t="str">
        <x:v>5</x:v>
      </x:c>
      <x:c r="P5" s="14" t="str">
        <x:v>Not Started</x:v>
      </x:c>
      <x:c r="Q5" s="14" t="str">
        <x:v>Unassigned</x:v>
      </x:c>
      <x:c r="R5" s="14" t="str"/>
    </x:row>
    <x:row r="6">
      <x:c r="A6" s="14" t="str">
        <x:v>BN-P0-005</x:v>
      </x:c>
      <x:c r="B6" s="14" t="str">
        <x:v>Engineering Foundation</x:v>
      </x:c>
      <x:c r="C6" s="14" t="str">
        <x:v>Observability Baseline</x:v>
      </x:c>
      <x:c r="D6" s="14" t="str">
        <x:v>Structured logs, trace/correlation IDs, metrics, health/readiness endpoints.</x:v>
      </x:c>
      <x:c r="E6" s="14" t="str">
        <x:v>NFR-OBS-001</x:v>
      </x:c>
      <x:c r="F6" s="14" t="str">
        <x:v>Must</x:v>
      </x:c>
      <x:c r="G6" s="14" t="str">
        <x:v>P0 Foundation</x:v>
      </x:c>
      <x:c r="H6" s="14" t="str">
        <x:v>BN-P0-001</x:v>
      </x:c>
      <x:c r="I6" s="14" t="str">
        <x:v>Logging/tracing/metrics middleware</x:v>
      </x:c>
      <x:c r="J6" s="14" t="str">
        <x:v>N/A</x:v>
      </x:c>
      <x:c r="K6" s="14" t="str">
        <x:v>N/A</x:v>
      </x:c>
      <x:c r="L6" s="14" t="str">
        <x:v>N/A</x:v>
      </x:c>
      <x:c r="M6" s="14" t="str">
        <x:v>Observability smoke test</x:v>
      </x:c>
      <x:c r="N6" s="14" t="str">
        <x:v>Request trace visible end-to-end</x:v>
      </x:c>
      <x:c r="O6" s="14" t="str">
        <x:v>5</x:v>
      </x:c>
      <x:c r="P6" s="14" t="str">
        <x:v>Not Started</x:v>
      </x:c>
      <x:c r="Q6" s="14" t="str">
        <x:v>Unassigned</x:v>
      </x:c>
      <x:c r="R6" s="14" t="str"/>
    </x:row>
    <x:row r="7">
      <x:c r="A7" s="14" t="str">
        <x:v>BN-P0-006</x:v>
      </x:c>
      <x:c r="B7" s="14" t="str">
        <x:v>Engineering Foundation</x:v>
      </x:c>
      <x:c r="C7" s="14" t="str">
        <x:v>Security Baseline</x:v>
      </x:c>
      <x:c r="D7" s="14" t="str">
        <x:v>Secrets, RBAC foundation, rate limiting, secure headers, upload limits, dependency scanning.</x:v>
      </x:c>
      <x:c r="E7" s="14" t="str">
        <x:v>NFR-SEC-001,NFR-SEC-003</x:v>
      </x:c>
      <x:c r="F7" s="14" t="str">
        <x:v>Must</x:v>
      </x:c>
      <x:c r="G7" s="14" t="str">
        <x:v>P0 Foundation</x:v>
      </x:c>
      <x:c r="H7" s="14" t="str">
        <x:v>BN-P0-001</x:v>
      </x:c>
      <x:c r="I7" s="14" t="str">
        <x:v>Security middleware + auth hooks</x:v>
      </x:c>
      <x:c r="J7" s="14" t="str">
        <x:v>Secure client token storage</x:v>
      </x:c>
      <x:c r="K7" s="14" t="str">
        <x:v>N/A</x:v>
      </x:c>
      <x:c r="L7" s="14" t="str">
        <x:v>N/A</x:v>
      </x:c>
      <x:c r="M7" s="14" t="str">
        <x:v>Security unit/DAST baseline</x:v>
      </x:c>
      <x:c r="N7" s="14" t="str">
        <x:v>Baseline controls enabled by default</x:v>
      </x:c>
      <x:c r="O7" s="14" t="str">
        <x:v>8</x:v>
      </x:c>
      <x:c r="P7" s="14" t="str">
        <x:v>Not Started</x:v>
      </x:c>
      <x:c r="Q7" s="14" t="str">
        <x:v>Unassigned</x:v>
      </x:c>
      <x:c r="R7" s="14" t="str"/>
    </x:row>
    <x:row r="8">
      <x:c r="A8" s="14" t="str">
        <x:v>BN-P0-007</x:v>
      </x:c>
      <x:c r="B8" s="14" t="str">
        <x:v>Engineering Foundation</x:v>
      </x:c>
      <x:c r="C8" s="14" t="str">
        <x:v>Database Migration Framework</x:v>
      </x:c>
      <x:c r="D8" s="14" t="str">
        <x:v>Migration/seed strategy, canonical IDs, audit timestamps, optimistic locking conventions.</x:v>
      </x:c>
      <x:c r="E8" s="14" t="str">
        <x:v>NFR-MNT-001,NFR-DATA-001</x:v>
      </x:c>
      <x:c r="F8" s="14" t="str">
        <x:v>Must</x:v>
      </x:c>
      <x:c r="G8" s="14" t="str">
        <x:v>P0 Foundation</x:v>
      </x:c>
      <x:c r="H8" s="14" t="str">
        <x:v>BN-P0-002</x:v>
      </x:c>
      <x:c r="I8" s="14" t="str">
        <x:v>ORM/migration tooling</x:v>
      </x:c>
      <x:c r="J8" s="14" t="str">
        <x:v>N/A</x:v>
      </x:c>
      <x:c r="K8" s="14" t="str">
        <x:v>Migration framework + seed</x:v>
      </x:c>
      <x:c r="L8" s="14" t="str">
        <x:v>N/A</x:v>
      </x:c>
      <x:c r="M8" s="14" t="str">
        <x:v>Migration forward/backward test</x:v>
      </x:c>
      <x:c r="N8" s="14" t="str">
        <x:v>Fresh DB can reach current schema deterministically</x:v>
      </x:c>
      <x:c r="O8" s="14" t="str">
        <x:v>5</x:v>
      </x:c>
      <x:c r="P8" s="14" t="str">
        <x:v>Not Started</x:v>
      </x:c>
      <x:c r="Q8" s="14" t="str">
        <x:v>Unassigned</x:v>
      </x:c>
      <x:c r="R8" s="14" t="str"/>
    </x:row>
    <x:row r="9">
      <x:c r="A9" s="14" t="str">
        <x:v>BN-P0-008</x:v>
      </x:c>
      <x:c r="B9" s="14" t="str">
        <x:v>Engineering Foundation</x:v>
      </x:c>
      <x:c r="C9" s="14" t="str">
        <x:v>Feature Flags &amp; Remote Config</x:v>
      </x:c>
      <x:c r="D9" s="14" t="str">
        <x:v>Flag SDK/server evaluation/kill-switch conventions.</x:v>
      </x:c>
      <x:c r="E9" s="14" t="str">
        <x:v>FR-ADM-004,BR-019</x:v>
      </x:c>
      <x:c r="F9" s="14" t="str">
        <x:v>Must</x:v>
      </x:c>
      <x:c r="G9" s="14" t="str">
        <x:v>P0 Foundation</x:v>
      </x:c>
      <x:c r="H9" s="14" t="str">
        <x:v>BN-P0-001</x:v>
      </x:c>
      <x:c r="I9" s="14" t="str">
        <x:v>Feature flag service abstraction</x:v>
      </x:c>
      <x:c r="J9" s="14" t="str">
        <x:v>Client flag hooks</x:v>
      </x:c>
      <x:c r="K9" s="14" t="str">
        <x:v>flag config tables optional</x:v>
      </x:c>
      <x:c r="L9" s="14" t="str">
        <x:v>N/A</x:v>
      </x:c>
      <x:c r="M9" s="14" t="str">
        <x:v>Flag behavior tests</x:v>
      </x:c>
      <x:c r="N9" s="14" t="str">
        <x:v>Risky features can be disabled without redeploy</x:v>
      </x:c>
      <x:c r="O9" s="14" t="str">
        <x:v>5</x:v>
      </x:c>
      <x:c r="P9" s="14" t="str">
        <x:v>Not Started</x:v>
      </x:c>
      <x:c r="Q9" s="14" t="str">
        <x:v>Unassigned</x:v>
      </x:c>
      <x:c r="R9" s="14" t="str"/>
    </x:row>
    <x:row r="10">
      <x:c r="A10" s="14" t="str">
        <x:v>BN-P0-009</x:v>
      </x:c>
      <x:c r="B10" s="14" t="str">
        <x:v>Engineering Foundation</x:v>
      </x:c>
      <x:c r="C10" s="14" t="str">
        <x:v>Media Foundation</x:v>
      </x:c>
      <x:c r="D10" s="14" t="str">
        <x:v>Object storage, direct upload, media metadata, image variants/CDN abstraction.</x:v>
      </x:c>
      <x:c r="E10" s="14" t="str">
        <x:v>NFR-COST-001</x:v>
      </x:c>
      <x:c r="F10" s="14" t="str">
        <x:v>Should</x:v>
      </x:c>
      <x:c r="G10" s="14" t="str">
        <x:v>P0 Foundation</x:v>
      </x:c>
      <x:c r="H10" s="14" t="str">
        <x:v>BN-P0-002</x:v>
      </x:c>
      <x:c r="I10" s="14" t="str">
        <x:v>Signed upload + media service</x:v>
      </x:c>
      <x:c r="J10" s="14" t="str">
        <x:v>Uploader component</x:v>
      </x:c>
      <x:c r="K10" s="14" t="str">
        <x:v>media_asset schema</x:v>
      </x:c>
      <x:c r="L10" s="14" t="str">
        <x:v>N/A</x:v>
      </x:c>
      <x:c r="M10" s="14" t="str">
        <x:v>Upload/security tests</x:v>
      </x:c>
      <x:c r="N10" s="14" t="str">
        <x:v>Image upload/download works with ownership checks</x:v>
      </x:c>
      <x:c r="O10" s="14" t="str">
        <x:v>5</x:v>
      </x:c>
      <x:c r="P10" s="14" t="str">
        <x:v>Not Started</x:v>
      </x:c>
      <x:c r="Q10" s="14" t="str">
        <x:v>Unassigned</x:v>
      </x:c>
      <x:c r="R10" s="14" t="str"/>
    </x:row>
    <x:row r="11">
      <x:c r="A11" s="14" t="str">
        <x:v>BN-P0-010</x:v>
      </x:c>
      <x:c r="B11" s="14" t="str">
        <x:v>Engineering Foundation</x:v>
      </x:c>
      <x:c r="C11" s="14" t="str">
        <x:v>Test Harness</x:v>
      </x:c>
      <x:c r="D11" s="14" t="str">
        <x:v>Unit/integration/e2e fixtures, synthetic recipes/users, test DB reset.</x:v>
      </x:c>
      <x:c r="E11" s="14" t="str">
        <x:v>NFR-QUAL-001</x:v>
      </x:c>
      <x:c r="F11" s="14" t="str">
        <x:v>Must</x:v>
      </x:c>
      <x:c r="G11" s="14" t="str">
        <x:v>P0 Foundation</x:v>
      </x:c>
      <x:c r="H11" s="14" t="str">
        <x:v>BN-P0-002,BN-P0-007</x:v>
      </x:c>
      <x:c r="I11" s="14" t="str">
        <x:v>Test utilities</x:v>
      </x:c>
      <x:c r="J11" s="14" t="str">
        <x:v>E2E harness</x:v>
      </x:c>
      <x:c r="K11" s="14" t="str">
        <x:v>Seed fixtures</x:v>
      </x:c>
      <x:c r="L11" s="14" t="str">
        <x:v>Golden sets later</x:v>
      </x:c>
      <x:c r="M11" s="14" t="str">
        <x:v>CI test smoke</x:v>
      </x:c>
      <x:c r="N11" s="14" t="str">
        <x:v>Deterministic local/CI test runs</x:v>
      </x:c>
      <x:c r="O11" s="14" t="str">
        <x:v>5</x:v>
      </x:c>
      <x:c r="P11" s="14" t="str">
        <x:v>Not Started</x:v>
      </x:c>
      <x:c r="Q11" s="14" t="str">
        <x:v>Unassigned</x:v>
      </x:c>
      <x:c r="R11" s="14" t="str"/>
    </x:row>
    <x:row r="12">
      <x:c r="A12" s="14" t="str">
        <x:v>BN-P0-011</x:v>
      </x:c>
      <x:c r="B12" s="14" t="str">
        <x:v>Engineering Foundation</x:v>
      </x:c>
      <x:c r="C12" s="14" t="str">
        <x:v>AI Gateway Skeleton</x:v>
      </x:c>
      <x:c r="D12" s="14" t="str">
        <x:v>Provider adapter interface, prompt registry, schema validation, timeout/circuit-breaker/cost logging.</x:v>
      </x:c>
      <x:c r="E12" s="14" t="str">
        <x:v>AI-004,AI-005,AI-006,NFR-AI-001</x:v>
      </x:c>
      <x:c r="F12" s="14" t="str">
        <x:v>Must</x:v>
      </x:c>
      <x:c r="G12" s="14" t="str">
        <x:v>P0 Foundation</x:v>
      </x:c>
      <x:c r="H12" s="14" t="str">
        <x:v>BN-P0-004,BN-P0-005</x:v>
      </x:c>
      <x:c r="I12" s="14" t="str">
        <x:v>AI gateway skeleton</x:v>
      </x:c>
      <x:c r="J12" s="14" t="str">
        <x:v>N/A</x:v>
      </x:c>
      <x:c r="K12" s="14" t="str">
        <x:v>prompt/model config schema</x:v>
      </x:c>
      <x:c r="L12" s="14" t="str">
        <x:v>Provider-independent adapter</x:v>
      </x:c>
      <x:c r="M12" s="14" t="str">
        <x:v>Fallback/timeout tests</x:v>
      </x:c>
      <x:c r="N12" s="14" t="str">
        <x:v>App core runs if AI provider unavailable</x:v>
      </x:c>
      <x:c r="O12" s="14" t="str">
        <x:v>8</x:v>
      </x:c>
      <x:c r="P12" s="14" t="str">
        <x:v>Not Started</x:v>
      </x:c>
      <x:c r="Q12" s="14" t="str">
        <x:v>Unassigned</x:v>
      </x:c>
      <x:c r="R12" s="14" t="str"/>
    </x:row>
    <x:row r="13">
      <x:c r="A13" s="14" t="str">
        <x:v>BN-P0-012</x:v>
      </x:c>
      <x:c r="B13" s="14" t="str">
        <x:v>Engineering Foundation</x:v>
      </x:c>
      <x:c r="C13" s="14" t="str">
        <x:v>Analytics Event Schema</x:v>
      </x:c>
      <x:c r="D13" s="14" t="str">
        <x:v>Versioned event naming, identity policy, PII redaction, local event collector.</x:v>
      </x:c>
      <x:c r="E13" s="14" t="str">
        <x:v>FR-AN-001,NFR-DATA-001,NFR-PRV-002</x:v>
      </x:c>
      <x:c r="F13" s="14" t="str">
        <x:v>Must</x:v>
      </x:c>
      <x:c r="G13" s="14" t="str">
        <x:v>P0 Foundation</x:v>
      </x:c>
      <x:c r="H13" s="14" t="str">
        <x:v>BN-P0-005</x:v>
      </x:c>
      <x:c r="I13" s="14" t="str">
        <x:v>Event SDK/server collector</x:v>
      </x:c>
      <x:c r="J13" s="14" t="str">
        <x:v>Client event wrapper</x:v>
      </x:c>
      <x:c r="K13" s="14" t="str">
        <x:v>event schema registry</x:v>
      </x:c>
      <x:c r="L13" s="14" t="str">
        <x:v>N/A</x:v>
      </x:c>
      <x:c r="M13" s="14" t="str">
        <x:v>Schema validation tests</x:v>
      </x:c>
      <x:c r="N13" s="14" t="str">
        <x:v>Invalid/unversioned events rejected in non-prod</x:v>
      </x:c>
      <x:c r="O13" s="14" t="str">
        <x:v>5</x:v>
      </x:c>
      <x:c r="P13" s="14" t="str">
        <x:v>Not Started</x:v>
      </x:c>
      <x:c r="Q13" s="14" t="str">
        <x:v>Unassigned</x:v>
      </x:c>
      <x:c r="R13" s="14" t="str"/>
    </x:row>
    <x:row r="14">
      <x:c r="A14" s="14" t="str">
        <x:v>BN-P1-001</x:v>
      </x:c>
      <x:c r="B14" s="14" t="str">
        <x:v>Account &amp; Onboarding</x:v>
      </x:c>
      <x:c r="C14" s="14" t="str">
        <x:v>FR-ACC-001</x:v>
      </x:c>
      <x:c r="D14" s="14" t="str">
        <x:v>Với vai trò user, tôi cần đăng ký/đăng nhập bằng email, số điện thoại và social login; hỗ trợ guest mode giới hạn.</x:v>
      </x:c>
      <x:c r="E14" s="14" t="str">
        <x:v>FR-ACC-001</x:v>
      </x:c>
      <x:c r="F14" s="14" t="str">
        <x:v>Must</x:v>
      </x:c>
      <x:c r="G14" s="14" t="str">
        <x:v>P1 Core Cooking</x:v>
      </x:c>
      <x:c r="H14" s="14" t="str">
        <x:v>BN-P0-001,BN-P0-004,BN-P0-007</x:v>
      </x:c>
      <x:c r="I14" s="14" t="str">
        <x:v>Auth/profile APIs, validation, session/device logic</x:v>
      </x:c>
      <x:c r="J14" s="14" t="str">
        <x:v>Onboarding/profile/auth/device-management UI</x:v>
      </x:c>
      <x:c r="K14" s="14" t="str">
        <x:v>identity/profile/session schema + indexes</x:v>
      </x:c>
      <x:c r="L14" s="14" t="str"/>
      <x:c r="M14" s="14" t="str">
        <x:v>Test functional path + negative/authorization cases for FR-ACC-001</x:v>
      </x:c>
      <x:c r="N14" s="14" t="str">
        <x:v>Không tạo duplicate identity; có cơ chế link account.</x:v>
      </x:c>
      <x:c r="O14" s="14" t="str">
        <x:v>5</x:v>
      </x:c>
      <x:c r="P14" s="14" t="str">
        <x:v>Not Started</x:v>
      </x:c>
      <x:c r="Q14" s="14" t="str">
        <x:v>Unassigned</x:v>
      </x:c>
      <x:c r="R14" s="14" t="str"/>
    </x:row>
    <x:row r="15">
      <x:c r="A15" s="14" t="str">
        <x:v>BN-P1-002</x:v>
      </x:c>
      <x:c r="B15" s="14" t="str">
        <x:v>Account &amp; Onboarding</x:v>
      </x:c>
      <x:c r="C15" s="14" t="str">
        <x:v>FR-ACC-002</x:v>
      </x:c>
      <x:c r="D15" s="14" t="str">
        <x:v>Với vai trò user, tôi cần onboarding thu thập mục tiêu nấu ăn, số người, vùng miền, mức kỹ năng, dụng cụ bếp, thời gian và budget.</x:v>
      </x:c>
      <x:c r="E15" s="14" t="str">
        <x:v>FR-ACC-002</x:v>
      </x:c>
      <x:c r="F15" s="14" t="str">
        <x:v>Must</x:v>
      </x:c>
      <x:c r="G15" s="14" t="str">
        <x:v>P1 Core Cooking</x:v>
      </x:c>
      <x:c r="H15" s="14" t="str">
        <x:v>BN-P0-001,BN-P0-004,BN-P0-007</x:v>
      </x:c>
      <x:c r="I15" s="14" t="str">
        <x:v>Auth/profile APIs, validation, session/device logic</x:v>
      </x:c>
      <x:c r="J15" s="14" t="str">
        <x:v>Onboarding/profile/auth/device-management UI</x:v>
      </x:c>
      <x:c r="K15" s="14" t="str">
        <x:v>identity/profile/session schema + indexes</x:v>
      </x:c>
      <x:c r="L15" s="14" t="str"/>
      <x:c r="M15" s="14" t="str">
        <x:v>Test functional path + negative/authorization cases for FR-ACC-002</x:v>
      </x:c>
      <x:c r="N15" s="14" t="str">
        <x:v>Có thể skip từng phần; chỉnh lại sau.</x:v>
      </x:c>
      <x:c r="O15" s="14" t="str">
        <x:v>5</x:v>
      </x:c>
      <x:c r="P15" s="14" t="str">
        <x:v>Not Started</x:v>
      </x:c>
      <x:c r="Q15" s="14" t="str">
        <x:v>Unassigned</x:v>
      </x:c>
      <x:c r="R15" s="14" t="str"/>
    </x:row>
    <x:row r="16">
      <x:c r="A16" s="14" t="str">
        <x:v>BN-P1-003</x:v>
      </x:c>
      <x:c r="B16" s="14" t="str">
        <x:v>Account &amp; Onboarding</x:v>
      </x:c>
      <x:c r="C16" s="14" t="str">
        <x:v>FR-ACC-003</x:v>
      </x:c>
      <x:c r="D16" s="14" t="str">
        <x:v>Với vai trò user, tôi cần hồ sơ lưu ngôn ngữ, đơn vị đo, chế độ ăn, dị ứng, nguyên liệu tránh, lịch sử và privacy settings.</x:v>
      </x:c>
      <x:c r="E16" s="14" t="str">
        <x:v>FR-ACC-003</x:v>
      </x:c>
      <x:c r="F16" s="14" t="str">
        <x:v>Must</x:v>
      </x:c>
      <x:c r="G16" s="14" t="str">
        <x:v>P1 Core Cooking</x:v>
      </x:c>
      <x:c r="H16" s="14" t="str">
        <x:v>BN-P0-001,BN-P0-004,BN-P0-007</x:v>
      </x:c>
      <x:c r="I16" s="14" t="str">
        <x:v>Auth/profile APIs, validation, session/device logic</x:v>
      </x:c>
      <x:c r="J16" s="14" t="str">
        <x:v>Onboarding/profile/auth/device-management UI</x:v>
      </x:c>
      <x:c r="K16" s="14" t="str">
        <x:v>identity/profile/session schema + indexes</x:v>
      </x:c>
      <x:c r="L16" s="14" t="str"/>
      <x:c r="M16" s="14" t="str">
        <x:v>Test functional path + negative/authorization cases for FR-ACC-003</x:v>
      </x:c>
      <x:c r="N16" s="14" t="str">
        <x:v>Dị ứng được ưu tiên hơn mọi recommendation.</x:v>
      </x:c>
      <x:c r="O16" s="14" t="str">
        <x:v>5</x:v>
      </x:c>
      <x:c r="P16" s="14" t="str">
        <x:v>Not Started</x:v>
      </x:c>
      <x:c r="Q16" s="14" t="str">
        <x:v>Unassigned</x:v>
      </x:c>
      <x:c r="R16" s="14" t="str"/>
    </x:row>
    <x:row r="17">
      <x:c r="A17" s="14" t="str">
        <x:v>BN-P1-004</x:v>
      </x:c>
      <x:c r="B17" s="14" t="str">
        <x:v>Account &amp; Onboarding</x:v>
      </x:c>
      <x:c r="C17" s="14" t="str">
        <x:v>FR-ACC-004</x:v>
      </x:c>
      <x:c r="D17" s="14" t="str">
        <x:v>Với vai trò user, tôi cần cho phép export dữ liệu, xóa tài khoản, vô hiệu hóa tài khoản và tải bản sao dữ liệu.</x:v>
      </x:c>
      <x:c r="E17" s="14" t="str">
        <x:v>FR-ACC-004</x:v>
      </x:c>
      <x:c r="F17" s="14" t="str">
        <x:v>Must</x:v>
      </x:c>
      <x:c r="G17" s="14" t="str">
        <x:v>P1 Core Cooking</x:v>
      </x:c>
      <x:c r="H17" s="14" t="str">
        <x:v>BN-P0-001,BN-P0-004,BN-P0-007</x:v>
      </x:c>
      <x:c r="I17" s="14" t="str">
        <x:v>Auth/profile APIs, validation, session/device logic</x:v>
      </x:c>
      <x:c r="J17" s="14" t="str">
        <x:v>Onboarding/profile/auth/device-management UI</x:v>
      </x:c>
      <x:c r="K17" s="14" t="str">
        <x:v>identity/profile/session schema + indexes</x:v>
      </x:c>
      <x:c r="L17" s="14" t="str"/>
      <x:c r="M17" s="14" t="str">
        <x:v>Test functional path + negative/authorization cases for FR-ACC-004</x:v>
      </x:c>
      <x:c r="N17" s="14" t="str">
        <x:v>Tuân thủ chính sách retention/erasure.</x:v>
      </x:c>
      <x:c r="O17" s="14" t="str">
        <x:v>5</x:v>
      </x:c>
      <x:c r="P17" s="14" t="str">
        <x:v>Not Started</x:v>
      </x:c>
      <x:c r="Q17" s="14" t="str">
        <x:v>Unassigned</x:v>
      </x:c>
      <x:c r="R17" s="14" t="str"/>
    </x:row>
    <x:row r="18">
      <x:c r="A18" s="14" t="str">
        <x:v>BN-P1-005</x:v>
      </x:c>
      <x:c r="B18" s="14" t="str">
        <x:v>Account &amp; Onboarding</x:v>
      </x:c>
      <x:c r="C18" s="14" t="str">
        <x:v>FR-ACC-005</x:v>
      </x:c>
      <x:c r="D18" s="14" t="str">
        <x:v>Với vai trò user, tôi cần hỗ trợ nhiều thiết bị, đồng bộ session và revoke thiết bị.</x:v>
      </x:c>
      <x:c r="E18" s="14" t="str">
        <x:v>FR-ACC-005</x:v>
      </x:c>
      <x:c r="F18" s="14" t="str">
        <x:v>Should</x:v>
      </x:c>
      <x:c r="G18" s="14" t="str">
        <x:v>P1 Core Cooking</x:v>
      </x:c>
      <x:c r="H18" s="14" t="str">
        <x:v>BN-P0-001,BN-P0-004,BN-P0-007</x:v>
      </x:c>
      <x:c r="I18" s="14" t="str">
        <x:v>Auth/profile APIs, validation, session/device logic</x:v>
      </x:c>
      <x:c r="J18" s="14" t="str">
        <x:v>Onboarding/profile/auth/device-management UI</x:v>
      </x:c>
      <x:c r="K18" s="14" t="str">
        <x:v>identity/profile/session schema + indexes</x:v>
      </x:c>
      <x:c r="L18" s="14" t="str"/>
      <x:c r="M18" s="14" t="str">
        <x:v>Test functional path + negative/authorization cases for FR-ACC-005</x:v>
      </x:c>
      <x:c r="N18" s="14" t="str">
        <x:v>Hiển thị lịch sử đăng nhập bất thường.</x:v>
      </x:c>
      <x:c r="O18" s="14" t="str">
        <x:v>5</x:v>
      </x:c>
      <x:c r="P18" s="14" t="str">
        <x:v>Not Started</x:v>
      </x:c>
      <x:c r="Q18" s="14" t="str">
        <x:v>Unassigned</x:v>
      </x:c>
      <x:c r="R18" s="14" t="str"/>
    </x:row>
    <x:row r="19">
      <x:c r="A19" s="14" t="str">
        <x:v>BN-P2-006</x:v>
      </x:c>
      <x:c r="B19" s="14" t="str">
        <x:v>Taste DNA &amp; Preference Memory</x:v>
      </x:c>
      <x:c r="C19" s="14" t="str">
        <x:v>FR-TASTE-001</x:v>
      </x:c>
      <x:c r="D19" s="14" t="str">
        <x:v>Với vai trò user, tôi cần duy trì Taste DNA theo nhiều chiều: mặn, ngọt, chua, cay, umami, béo, đắng, độ mềm/giòn, độ khô/nước, hành/tỏi, mùi thảo mộc.</x:v>
      </x:c>
      <x:c r="E19" s="14" t="str">
        <x:v>FR-TASTE-001</x:v>
      </x:c>
      <x:c r="F19" s="14" t="str">
        <x:v>Must</x:v>
      </x:c>
      <x:c r="G19" s="14" t="str">
        <x:v>P2 Personalization</x:v>
      </x:c>
      <x:c r="H19" s="14" t="str">
        <x:v>BN-P0-001,BN-P0-004,BN-P0-007, core cook + feedback</x:v>
      </x:c>
      <x:c r="I19" s="14" t="str">
        <x:v>Taste profile service, signal ingestion, recompute hooks</x:v>
      </x:c>
      <x:c r="J19" s="14" t="str">
        <x:v>Taste DNA visualization/edit/reset UI</x:v>
      </x:c>
      <x:c r="K19" s="14" t="str">
        <x:v>taste_profile/taste_signal/taste_dimension schema</x:v>
      </x:c>
      <x:c r="L19" s="14" t="str">
        <x:v>Signal weighting, confidence update, context overrides</x:v>
      </x:c>
      <x:c r="M19" s="14" t="str">
        <x:v>Test functional path + negative/authorization cases for FR-TASTE-001</x:v>
      </x:c>
      <x:c r="N19" s="14" t="str">
        <x:v>Mỗi dimension có score + confidence + sample count.</x:v>
      </x:c>
      <x:c r="O19" s="14" t="str">
        <x:v>8</x:v>
      </x:c>
      <x:c r="P19" s="14" t="str">
        <x:v>Not Started</x:v>
      </x:c>
      <x:c r="Q19" s="14" t="str">
        <x:v>Unassigned</x:v>
      </x:c>
      <x:c r="R19" s="14" t="str"/>
    </x:row>
    <x:row r="20">
      <x:c r="A20" s="14" t="str">
        <x:v>BN-P2-007</x:v>
      </x:c>
      <x:c r="B20" s="14" t="str">
        <x:v>Taste DNA &amp; Preference Memory</x:v>
      </x:c>
      <x:c r="C20" s="14" t="str">
        <x:v>FR-TASTE-002</x:v>
      </x:c>
      <x:c r="D20" s="14" t="str">
        <x:v>Với vai trò user, tôi cần taste DNA phải học từ onboarding, rating, post-cook feedback, thao tác chỉnh recipe và hành vi lựa chọn.</x:v>
      </x:c>
      <x:c r="E20" s="14" t="str">
        <x:v>FR-TASTE-002</x:v>
      </x:c>
      <x:c r="F20" s="14" t="str">
        <x:v>Must</x:v>
      </x:c>
      <x:c r="G20" s="14" t="str">
        <x:v>P2 Personalization</x:v>
      </x:c>
      <x:c r="H20" s="14" t="str">
        <x:v>BN-P0-001,BN-P0-004,BN-P0-007, core cook + feedback</x:v>
      </x:c>
      <x:c r="I20" s="14" t="str">
        <x:v>Taste profile service, signal ingestion, recompute hooks</x:v>
      </x:c>
      <x:c r="J20" s="14" t="str">
        <x:v>Taste DNA visualization/edit/reset UI</x:v>
      </x:c>
      <x:c r="K20" s="14" t="str">
        <x:v>taste_profile/taste_signal/taste_dimension schema</x:v>
      </x:c>
      <x:c r="L20" s="14" t="str">
        <x:v>Signal weighting, confidence update, context overrides</x:v>
      </x:c>
      <x:c r="M20" s="14" t="str">
        <x:v>Test functional path + negative/authorization cases for FR-TASTE-002</x:v>
      </x:c>
      <x:c r="N20" s="14" t="str">
        <x:v>Nguồn tín hiệu có trọng số khác nhau.</x:v>
      </x:c>
      <x:c r="O20" s="14" t="str">
        <x:v>8</x:v>
      </x:c>
      <x:c r="P20" s="14" t="str">
        <x:v>Not Started</x:v>
      </x:c>
      <x:c r="Q20" s="14" t="str">
        <x:v>Unassigned</x:v>
      </x:c>
      <x:c r="R20" s="14" t="str"/>
    </x:row>
    <x:row r="21">
      <x:c r="A21" s="14" t="str">
        <x:v>BN-P2-008</x:v>
      </x:c>
      <x:c r="B21" s="14" t="str">
        <x:v>Taste DNA &amp; Preference Memory</x:v>
      </x:c>
      <x:c r="C21" s="14" t="str">
        <x:v>FR-TASTE-003</x:v>
      </x:c>
      <x:c r="D21" s="14" t="str">
        <x:v>Với vai trò user, tôi cần cho phép preference toàn cục, theo nhóm món, theo nguyên liệu và theo recipe cụ thể.</x:v>
      </x:c>
      <x:c r="E21" s="14" t="str">
        <x:v>FR-TASTE-003</x:v>
      </x:c>
      <x:c r="F21" s="14" t="str">
        <x:v>Must</x:v>
      </x:c>
      <x:c r="G21" s="14" t="str">
        <x:v>P2 Personalization</x:v>
      </x:c>
      <x:c r="H21" s="14" t="str">
        <x:v>BN-P0-001,BN-P0-004,BN-P0-007, core cook + feedback</x:v>
      </x:c>
      <x:c r="I21" s="14" t="str">
        <x:v>Taste profile service, signal ingestion, recompute hooks</x:v>
      </x:c>
      <x:c r="J21" s="14" t="str">
        <x:v>Taste DNA visualization/edit/reset UI</x:v>
      </x:c>
      <x:c r="K21" s="14" t="str">
        <x:v>taste_profile/taste_signal/taste_dimension schema</x:v>
      </x:c>
      <x:c r="L21" s="14" t="str">
        <x:v>Signal weighting, confidence update, context overrides</x:v>
      </x:c>
      <x:c r="M21" s="14" t="str">
        <x:v>Test functional path + negative/authorization cases for FR-TASTE-003</x:v>
      </x:c>
      <x:c r="N21" s="14" t="str">
        <x:v>Context-specific preference override global.</x:v>
      </x:c>
      <x:c r="O21" s="14" t="str">
        <x:v>8</x:v>
      </x:c>
      <x:c r="P21" s="14" t="str">
        <x:v>Not Started</x:v>
      </x:c>
      <x:c r="Q21" s="14" t="str">
        <x:v>Unassigned</x:v>
      </x:c>
      <x:c r="R21" s="14" t="str"/>
    </x:row>
    <x:row r="22">
      <x:c r="A22" s="14" t="str">
        <x:v>BN-P2-009</x:v>
      </x:c>
      <x:c r="B22" s="14" t="str">
        <x:v>Taste DNA &amp; Preference Memory</x:v>
      </x:c>
      <x:c r="C22" s="14" t="str">
        <x:v>FR-TASTE-004</x:v>
      </x:c>
      <x:c r="D22" s="14" t="str">
        <x:v>Với vai trò user, tôi cần hiển thị Taste DNA theo cách dễ hiểu và cho phép user chỉnh thủ công.</x:v>
      </x:c>
      <x:c r="E22" s="14" t="str">
        <x:v>FR-TASTE-004</x:v>
      </x:c>
      <x:c r="F22" s="14" t="str">
        <x:v>Should</x:v>
      </x:c>
      <x:c r="G22" s="14" t="str">
        <x:v>P2 Personalization</x:v>
      </x:c>
      <x:c r="H22" s="14" t="str">
        <x:v>BN-P0-001,BN-P0-004,BN-P0-007, core cook + feedback</x:v>
      </x:c>
      <x:c r="I22" s="14" t="str">
        <x:v>Taste profile service, signal ingestion, recompute hooks</x:v>
      </x:c>
      <x:c r="J22" s="14" t="str">
        <x:v>Taste DNA visualization/edit/reset UI</x:v>
      </x:c>
      <x:c r="K22" s="14" t="str">
        <x:v>taste_profile/taste_signal/taste_dimension schema</x:v>
      </x:c>
      <x:c r="L22" s="14" t="str">
        <x:v>Signal weighting, confidence update, context overrides</x:v>
      </x:c>
      <x:c r="M22" s="14" t="str">
        <x:v>Test functional path + negative/authorization cases for FR-TASTE-004</x:v>
      </x:c>
      <x:c r="N22" s="14" t="str">
        <x:v>Manual edit được audit và giảm confidence tạm thời.</x:v>
      </x:c>
      <x:c r="O22" s="14" t="str">
        <x:v>5</x:v>
      </x:c>
      <x:c r="P22" s="14" t="str">
        <x:v>Not Started</x:v>
      </x:c>
      <x:c r="Q22" s="14" t="str">
        <x:v>Unassigned</x:v>
      </x:c>
      <x:c r="R22" s="14" t="str"/>
    </x:row>
    <x:row r="23">
      <x:c r="A23" s="14" t="str">
        <x:v>BN-P2-010</x:v>
      </x:c>
      <x:c r="B23" s="14" t="str">
        <x:v>Taste DNA &amp; Preference Memory</x:v>
      </x:c>
      <x:c r="C23" s="14" t="str">
        <x:v>FR-TASTE-005</x:v>
      </x:c>
      <x:c r="D23" s="14" t="str">
        <x:v>Với vai trò user, tôi cần cho phép reset một dimension hoặc toàn bộ Taste DNA mà không xóa lịch sử cook.</x:v>
      </x:c>
      <x:c r="E23" s="14" t="str">
        <x:v>FR-TASTE-005</x:v>
      </x:c>
      <x:c r="F23" s="14" t="str">
        <x:v>Could</x:v>
      </x:c>
      <x:c r="G23" s="14" t="str">
        <x:v>P2 Personalization</x:v>
      </x:c>
      <x:c r="H23" s="14" t="str">
        <x:v>BN-P0-001,BN-P0-004,BN-P0-007, core cook + feedback</x:v>
      </x:c>
      <x:c r="I23" s="14" t="str">
        <x:v>Taste profile service, signal ingestion, recompute hooks</x:v>
      </x:c>
      <x:c r="J23" s="14" t="str">
        <x:v>Taste DNA visualization/edit/reset UI</x:v>
      </x:c>
      <x:c r="K23" s="14" t="str">
        <x:v>taste_profile/taste_signal/taste_dimension schema</x:v>
      </x:c>
      <x:c r="L23" s="14" t="str">
        <x:v>Signal weighting, confidence update, context overrides</x:v>
      </x:c>
      <x:c r="M23" s="14" t="str">
        <x:v>Test functional path + negative/authorization cases for FR-TASTE-005</x:v>
      </x:c>
      <x:c r="N23" s="14" t="str">
        <x:v>Có cảnh báo hậu quả personalization.</x:v>
      </x:c>
      <x:c r="O23" s="14" t="str">
        <x:v>3</x:v>
      </x:c>
      <x:c r="P23" s="14" t="str">
        <x:v>Not Started</x:v>
      </x:c>
      <x:c r="Q23" s="14" t="str">
        <x:v>Unassigned</x:v>
      </x:c>
      <x:c r="R23" s="14" t="str"/>
    </x:row>
    <x:row r="24">
      <x:c r="A24" s="14" t="str">
        <x:v>BN-P3-011</x:v>
      </x:c>
      <x:c r="B24" s="14" t="str">
        <x:v>Household &amp; Family Taste</x:v>
      </x:c>
      <x:c r="C24" s="14" t="str">
        <x:v>FR-HH-001</x:v>
      </x:c>
      <x:c r="D24" s="14" t="str">
        <x:v>Với vai trò household owner/member, tôi cần tạo household, mời thành viên, guest profile và child profile.</x:v>
      </x:c>
      <x:c r="E24" s="14" t="str">
        <x:v>FR-HH-001</x:v>
      </x:c>
      <x:c r="F24" s="14" t="str">
        <x:v>Must</x:v>
      </x:c>
      <x:c r="G24" s="14" t="str">
        <x:v>P3 Household &amp; Planning</x:v>
      </x:c>
      <x:c r="H24" s="14" t="str">
        <x:v>BN-P0-001,BN-P0-004,BN-P0-007, account + taste</x:v>
      </x:c>
      <x:c r="I24" s="14" t="str">
        <x:v>Household RBAC, invite/member/shared-resource services</x:v>
      </x:c>
      <x:c r="J24" s="14" t="str">
        <x:v>Household setup/member/taste-conflict UI</x:v>
      </x:c>
      <x:c r="K24" s="14" t="str">
        <x:v>household/member/consent/shared-resource schema</x:v>
      </x:c>
      <x:c r="L24" s="14" t="str"/>
      <x:c r="M24" s="14" t="str">
        <x:v>Test functional path + negative/authorization cases for FR-HH-001</x:v>
      </x:c>
      <x:c r="N24" s="14" t="str">
        <x:v>Role Owner/Admin/Member/Guest.</x:v>
      </x:c>
      <x:c r="O24" s="14" t="str">
        <x:v>5</x:v>
      </x:c>
      <x:c r="P24" s="14" t="str">
        <x:v>Not Started</x:v>
      </x:c>
      <x:c r="Q24" s="14" t="str">
        <x:v>Unassigned</x:v>
      </x:c>
      <x:c r="R24" s="14" t="str"/>
    </x:row>
    <x:row r="25">
      <x:c r="A25" s="14" t="str">
        <x:v>BN-P3-012</x:v>
      </x:c>
      <x:c r="B25" s="14" t="str">
        <x:v>Household &amp; Family Taste</x:v>
      </x:c>
      <x:c r="C25" s="14" t="str">
        <x:v>FR-HH-002</x:v>
      </x:c>
      <x:c r="D25" s="14" t="str">
        <x:v>Với vai trò household owner/member, tôi cần mỗi thành viên có Taste DNA, allergy/diet và serving size riêng.</x:v>
      </x:c>
      <x:c r="E25" s="14" t="str">
        <x:v>FR-HH-002</x:v>
      </x:c>
      <x:c r="F25" s="14" t="str">
        <x:v>Must</x:v>
      </x:c>
      <x:c r="G25" s="14" t="str">
        <x:v>P3 Household &amp; Planning</x:v>
      </x:c>
      <x:c r="H25" s="14" t="str">
        <x:v>BN-P0-001,BN-P0-004,BN-P0-007, account + taste</x:v>
      </x:c>
      <x:c r="I25" s="14" t="str">
        <x:v>Household RBAC, invite/member/shared-resource services</x:v>
      </x:c>
      <x:c r="J25" s="14" t="str">
        <x:v>Household setup/member/taste-conflict UI</x:v>
      </x:c>
      <x:c r="K25" s="14" t="str">
        <x:v>household/member/consent/shared-resource schema</x:v>
      </x:c>
      <x:c r="L25" s="14" t="str"/>
      <x:c r="M25" s="14" t="str">
        <x:v>Test functional path + negative/authorization cases for FR-HH-002</x:v>
      </x:c>
      <x:c r="N25" s="14" t="str">
        <x:v>Không gộp dữ liệu cá nhân ngoài consent.</x:v>
      </x:c>
      <x:c r="O25" s="14" t="str">
        <x:v>5</x:v>
      </x:c>
      <x:c r="P25" s="14" t="str">
        <x:v>Not Started</x:v>
      </x:c>
      <x:c r="Q25" s="14" t="str">
        <x:v>Unassigned</x:v>
      </x:c>
      <x:c r="R25" s="14" t="str"/>
    </x:row>
    <x:row r="26">
      <x:c r="A26" s="14" t="str">
        <x:v>BN-P3-013</x:v>
      </x:c>
      <x:c r="B26" s="14" t="str">
        <x:v>Household &amp; Family Taste</x:v>
      </x:c>
      <x:c r="C26" s="14" t="str">
        <x:v>FR-HH-003</x:v>
      </x:c>
      <x:c r="D26" s="14" t="str">
        <x:v>Với vai trò household owner/member, tôi cần family Taste Engine đề xuất công thức dung hòa và hướng dẫn tách phần khi preference xung đột.</x:v>
      </x:c>
      <x:c r="E26" s="14" t="str">
        <x:v>FR-HH-003</x:v>
      </x:c>
      <x:c r="F26" s="14" t="str">
        <x:v>Must</x:v>
      </x:c>
      <x:c r="G26" s="14" t="str">
        <x:v>P3 Household &amp; Planning</x:v>
      </x:c>
      <x:c r="H26" s="14" t="str">
        <x:v>BN-P0-001,BN-P0-004,BN-P0-007, account + taste</x:v>
      </x:c>
      <x:c r="I26" s="14" t="str">
        <x:v>Household RBAC, invite/member/shared-resource services</x:v>
      </x:c>
      <x:c r="J26" s="14" t="str">
        <x:v>Household setup/member/taste-conflict UI</x:v>
      </x:c>
      <x:c r="K26" s="14" t="str">
        <x:v>household/member/consent/shared-resource schema</x:v>
      </x:c>
      <x:c r="L26" s="14" t="str"/>
      <x:c r="M26" s="14" t="str">
        <x:v>Test functional path + negative/authorization cases for FR-HH-003</x:v>
      </x:c>
      <x:c r="N26" s="14" t="str">
        <x:v>Allergy luôn là hard constraint.</x:v>
      </x:c>
      <x:c r="O26" s="14" t="str">
        <x:v>5</x:v>
      </x:c>
      <x:c r="P26" s="14" t="str">
        <x:v>Not Started</x:v>
      </x:c>
      <x:c r="Q26" s="14" t="str">
        <x:v>Unassigned</x:v>
      </x:c>
      <x:c r="R26" s="14" t="str"/>
    </x:row>
    <x:row r="27">
      <x:c r="A27" s="14" t="str">
        <x:v>BN-P3-014</x:v>
      </x:c>
      <x:c r="B27" s="14" t="str">
        <x:v>Household &amp; Family Taste</x:v>
      </x:c>
      <x:c r="C27" s="14" t="str">
        <x:v>FR-HH-004</x:v>
      </x:c>
      <x:c r="D27" s="14" t="str">
        <x:v>Với vai trò household owner/member, tôi cần meal plan, pantry, shopping list có thể dùng chung household và đồng bộ real time.</x:v>
      </x:c>
      <x:c r="E27" s="14" t="str">
        <x:v>FR-HH-004</x:v>
      </x:c>
      <x:c r="F27" s="14" t="str">
        <x:v>Must</x:v>
      </x:c>
      <x:c r="G27" s="14" t="str">
        <x:v>P3 Household &amp; Planning</x:v>
      </x:c>
      <x:c r="H27" s="14" t="str">
        <x:v>BN-P0-001,BN-P0-004,BN-P0-007, account + taste</x:v>
      </x:c>
      <x:c r="I27" s="14" t="str">
        <x:v>Household RBAC, invite/member/shared-resource services</x:v>
      </x:c>
      <x:c r="J27" s="14" t="str">
        <x:v>Household setup/member/taste-conflict UI</x:v>
      </x:c>
      <x:c r="K27" s="14" t="str">
        <x:v>household/member/consent/shared-resource schema</x:v>
      </x:c>
      <x:c r="L27" s="14" t="str"/>
      <x:c r="M27" s="14" t="str">
        <x:v>Test functional path + negative/authorization cases for FR-HH-004</x:v>
      </x:c>
      <x:c r="N27" s="14" t="str">
        <x:v>Conflict merge có versioning.</x:v>
      </x:c>
      <x:c r="O27" s="14" t="str">
        <x:v>5</x:v>
      </x:c>
      <x:c r="P27" s="14" t="str">
        <x:v>Not Started</x:v>
      </x:c>
      <x:c r="Q27" s="14" t="str">
        <x:v>Unassigned</x:v>
      </x:c>
      <x:c r="R27" s="14" t="str"/>
    </x:row>
    <x:row r="28">
      <x:c r="A28" s="14" t="str">
        <x:v>BN-P3-015</x:v>
      </x:c>
      <x:c r="B28" s="14" t="str">
        <x:v>Household &amp; Family Taste</x:v>
      </x:c>
      <x:c r="C28" s="14" t="str">
        <x:v>FR-HH-005</x:v>
      </x:c>
      <x:c r="D28" s="14" t="str">
        <x:v>Với vai trò household owner/member, tôi cần cho phép lưu “ai ăn bữa này” để recommendation theo đúng nhóm người.</x:v>
      </x:c>
      <x:c r="E28" s="14" t="str">
        <x:v>FR-HH-005</x:v>
      </x:c>
      <x:c r="F28" s="14" t="str">
        <x:v>Should</x:v>
      </x:c>
      <x:c r="G28" s="14" t="str">
        <x:v>P3 Household &amp; Planning</x:v>
      </x:c>
      <x:c r="H28" s="14" t="str">
        <x:v>BN-P0-001,BN-P0-004,BN-P0-007, account + taste</x:v>
      </x:c>
      <x:c r="I28" s="14" t="str">
        <x:v>Household RBAC, invite/member/shared-resource services</x:v>
      </x:c>
      <x:c r="J28" s="14" t="str">
        <x:v>Household setup/member/taste-conflict UI</x:v>
      </x:c>
      <x:c r="K28" s="14" t="str">
        <x:v>household/member/consent/shared-resource schema</x:v>
      </x:c>
      <x:c r="L28" s="14" t="str"/>
      <x:c r="M28" s="14" t="str">
        <x:v>Test functional path + negative/authorization cases for FR-HH-005</x:v>
      </x:c>
      <x:c r="N28" s="14" t="str">
        <x:v>Có preset: cả nhà, hai người, trẻ em...</x:v>
      </x:c>
      <x:c r="O28" s="14" t="str">
        <x:v>5</x:v>
      </x:c>
      <x:c r="P28" s="14" t="str">
        <x:v>Not Started</x:v>
      </x:c>
      <x:c r="Q28" s="14" t="str">
        <x:v>Unassigned</x:v>
      </x:c>
      <x:c r="R28" s="14" t="str"/>
    </x:row>
    <x:row r="29">
      <x:c r="A29" s="14" t="str">
        <x:v>BN-P1-016</x:v>
      </x:c>
      <x:c r="B29" s="14" t="str">
        <x:v>Recipe Catalog &amp; Verified Content</x:v>
      </x:c>
      <x:c r="C29" s="14" t="str">
        <x:v>FR-REC-001</x:v>
      </x:c>
      <x:c r="D29" s="14" t="str">
        <x:v>Với vai trò user/content editor, tôi cần recipe lưu cấu trúc định lượng: ingredient canonical, quantity, unit, preparation, substitution, step, heat, duration, serving.</x:v>
      </x:c>
      <x:c r="E29" s="14" t="str">
        <x:v>FR-REC-001</x:v>
      </x:c>
      <x:c r="F29" s="14" t="str">
        <x:v>Must</x:v>
      </x:c>
      <x:c r="G29" s="14" t="str">
        <x:v>P1 Core Cooking</x:v>
      </x:c>
      <x:c r="H29" s="14" t="str">
        <x:v>BN-P0-001,BN-P0-004,BN-P0-007</x:v>
      </x:c>
      <x:c r="I29" s="14" t="str">
        <x:v>Recipe/CMS domain services, validation, version publishing</x:v>
      </x:c>
      <x:c r="J29" s="14" t="str">
        <x:v>Recipe detail/catalog/editor/verified badges UI</x:v>
      </x:c>
      <x:c r="K29" s="14" t="str">
        <x:v>recipe/ingredient/version/taxonomy/media schema</x:v>
      </x:c>
      <x:c r="L29" s="14" t="str"/>
      <x:c r="M29" s="14" t="str">
        <x:v>Test functional path + negative/authorization cases for FR-REC-001</x:v>
      </x:c>
      <x:c r="N29" s="14" t="str">
        <x:v>Không dùng “vừa đủ” làm dữ liệu duy nhất cho gia vị chính.</x:v>
      </x:c>
      <x:c r="O29" s="14" t="str">
        <x:v>5</x:v>
      </x:c>
      <x:c r="P29" s="14" t="str">
        <x:v>Not Started</x:v>
      </x:c>
      <x:c r="Q29" s="14" t="str">
        <x:v>Unassigned</x:v>
      </x:c>
      <x:c r="R29" s="14" t="str"/>
    </x:row>
    <x:row r="30">
      <x:c r="A30" s="14" t="str">
        <x:v>BN-P1-017</x:v>
      </x:c>
      <x:c r="B30" s="14" t="str">
        <x:v>Recipe Catalog &amp; Verified Content</x:v>
      </x:c>
      <x:c r="C30" s="14" t="str">
        <x:v>FR-REC-002</x:v>
      </x:c>
      <x:c r="D30" s="14" t="str">
        <x:v>Với vai trò user/content editor, tôi cần phân loại món theo vùng miền, bữa ăn, kỹ thuật, nguyên liệu, mùa, độ khó, thời gian và chi phí.</x:v>
      </x:c>
      <x:c r="E30" s="14" t="str">
        <x:v>FR-REC-002</x:v>
      </x:c>
      <x:c r="F30" s="14" t="str">
        <x:v>Must</x:v>
      </x:c>
      <x:c r="G30" s="14" t="str">
        <x:v>P1 Core Cooking</x:v>
      </x:c>
      <x:c r="H30" s="14" t="str">
        <x:v>BN-P0-001,BN-P0-004,BN-P0-007</x:v>
      </x:c>
      <x:c r="I30" s="14" t="str">
        <x:v>Recipe/CMS domain services, validation, version publishing</x:v>
      </x:c>
      <x:c r="J30" s="14" t="str">
        <x:v>Recipe detail/catalog/editor/verified badges UI</x:v>
      </x:c>
      <x:c r="K30" s="14" t="str">
        <x:v>recipe/ingredient/version/taxonomy/media schema</x:v>
      </x:c>
      <x:c r="L30" s="14" t="str"/>
      <x:c r="M30" s="14" t="str">
        <x:v>Test functional path + negative/authorization cases for FR-REC-002</x:v>
      </x:c>
      <x:c r="N30" s="14" t="str">
        <x:v>Taxonomy quản trị qua CMS.</x:v>
      </x:c>
      <x:c r="O30" s="14" t="str">
        <x:v>5</x:v>
      </x:c>
      <x:c r="P30" s="14" t="str">
        <x:v>Not Started</x:v>
      </x:c>
      <x:c r="Q30" s="14" t="str">
        <x:v>Unassigned</x:v>
      </x:c>
      <x:c r="R30" s="14" t="str"/>
    </x:row>
    <x:row r="31">
      <x:c r="A31" s="14" t="str">
        <x:v>BN-P1-018</x:v>
      </x:c>
      <x:c r="B31" s="14" t="str">
        <x:v>Recipe Catalog &amp; Verified Content</x:v>
      </x:c>
      <x:c r="C31" s="14" t="str">
        <x:v>FR-REC-003</x:v>
      </x:c>
      <x:c r="D31" s="14" t="str">
        <x:v>Với vai trò user/content editor, tôi cần mỗi recipe có source/provenance, reviewer, trạng thái draft/verified/published/deprecated.</x:v>
      </x:c>
      <x:c r="E31" s="14" t="str">
        <x:v>FR-REC-003</x:v>
      </x:c>
      <x:c r="F31" s="14" t="str">
        <x:v>Must</x:v>
      </x:c>
      <x:c r="G31" s="14" t="str">
        <x:v>P1 Core Cooking</x:v>
      </x:c>
      <x:c r="H31" s="14" t="str">
        <x:v>BN-P0-001,BN-P0-004,BN-P0-007</x:v>
      </x:c>
      <x:c r="I31" s="14" t="str">
        <x:v>Recipe/CMS domain services, validation, version publishing</x:v>
      </x:c>
      <x:c r="J31" s="14" t="str">
        <x:v>Recipe detail/catalog/editor/verified badges UI</x:v>
      </x:c>
      <x:c r="K31" s="14" t="str">
        <x:v>recipe/ingredient/version/taxonomy/media schema</x:v>
      </x:c>
      <x:c r="L31" s="14" t="str"/>
      <x:c r="M31" s="14" t="str">
        <x:v>Test functional path + negative/authorization cases for FR-REC-003</x:v>
      </x:c>
      <x:c r="N31" s="14" t="str">
        <x:v>Verified recipe có lịch sử review.</x:v>
      </x:c>
      <x:c r="O31" s="14" t="str">
        <x:v>5</x:v>
      </x:c>
      <x:c r="P31" s="14" t="str">
        <x:v>Not Started</x:v>
      </x:c>
      <x:c r="Q31" s="14" t="str">
        <x:v>Unassigned</x:v>
      </x:c>
      <x:c r="R31" s="14" t="str"/>
    </x:row>
    <x:row r="32">
      <x:c r="A32" s="14" t="str">
        <x:v>BN-P1-019</x:v>
      </x:c>
      <x:c r="B32" s="14" t="str">
        <x:v>Recipe Catalog &amp; Verified Content</x:v>
      </x:c>
      <x:c r="C32" s="14" t="str">
        <x:v>FR-REC-004</x:v>
      </x:c>
      <x:c r="D32" s="14" t="str">
        <x:v>Với vai trò user/content editor, tôi cần hỗ trợ ảnh, video ngắn, step image, nutrition optional và equipment.</x:v>
      </x:c>
      <x:c r="E32" s="14" t="str">
        <x:v>FR-REC-004</x:v>
      </x:c>
      <x:c r="F32" s="14" t="str">
        <x:v>Should</x:v>
      </x:c>
      <x:c r="G32" s="14" t="str">
        <x:v>P1 Core Cooking</x:v>
      </x:c>
      <x:c r="H32" s="14" t="str">
        <x:v>BN-P0-001,BN-P0-004,BN-P0-007</x:v>
      </x:c>
      <x:c r="I32" s="14" t="str">
        <x:v>Recipe/CMS domain services, validation, version publishing</x:v>
      </x:c>
      <x:c r="J32" s="14" t="str">
        <x:v>Recipe detail/catalog/editor/verified badges UI</x:v>
      </x:c>
      <x:c r="K32" s="14" t="str">
        <x:v>recipe/ingredient/version/taxonomy/media schema</x:v>
      </x:c>
      <x:c r="L32" s="14" t="str"/>
      <x:c r="M32" s="14" t="str">
        <x:v>Test functional path + negative/authorization cases for FR-REC-004</x:v>
      </x:c>
      <x:c r="N32" s="14" t="str">
        <x:v>Media có moderation/licensing metadata.</x:v>
      </x:c>
      <x:c r="O32" s="14" t="str">
        <x:v>5</x:v>
      </x:c>
      <x:c r="P32" s="14" t="str">
        <x:v>Not Started</x:v>
      </x:c>
      <x:c r="Q32" s="14" t="str">
        <x:v>Unassigned</x:v>
      </x:c>
      <x:c r="R32" s="14" t="str"/>
    </x:row>
    <x:row r="33">
      <x:c r="A33" s="14" t="str">
        <x:v>BN-P1-020</x:v>
      </x:c>
      <x:c r="B33" s="14" t="str">
        <x:v>Recipe Catalog &amp; Verified Content</x:v>
      </x:c>
      <x:c r="C33" s="14" t="str">
        <x:v>FR-REC-005</x:v>
      </x:c>
      <x:c r="D33" s="14" t="str">
        <x:v>Với vai trò user/content editor, tôi cần hỗ trợ biến thể Bắc/Trung/Nam/gia đình nhưng vẫn giữ lineage của món gốc.</x:v>
      </x:c>
      <x:c r="E33" s="14" t="str">
        <x:v>FR-REC-005</x:v>
      </x:c>
      <x:c r="F33" s="14" t="str">
        <x:v>Should</x:v>
      </x:c>
      <x:c r="G33" s="14" t="str">
        <x:v>P1 Core Cooking</x:v>
      </x:c>
      <x:c r="H33" s="14" t="str">
        <x:v>BN-P0-001,BN-P0-004,BN-P0-007</x:v>
      </x:c>
      <x:c r="I33" s="14" t="str">
        <x:v>Recipe/CMS domain services, validation, version publishing</x:v>
      </x:c>
      <x:c r="J33" s="14" t="str">
        <x:v>Recipe detail/catalog/editor/verified badges UI</x:v>
      </x:c>
      <x:c r="K33" s="14" t="str">
        <x:v>recipe/ingredient/version/taxonomy/media schema</x:v>
      </x:c>
      <x:c r="L33" s="14" t="str"/>
      <x:c r="M33" s="14" t="str">
        <x:v>Test functional path + negative/authorization cases for FR-REC-005</x:v>
      </x:c>
      <x:c r="N33" s="14" t="str">
        <x:v>Không overwrite recipe verified gốc.</x:v>
      </x:c>
      <x:c r="O33" s="14" t="str">
        <x:v>5</x:v>
      </x:c>
      <x:c r="P33" s="14" t="str">
        <x:v>Not Started</x:v>
      </x:c>
      <x:c r="Q33" s="14" t="str">
        <x:v>Unassigned</x:v>
      </x:c>
      <x:c r="R33" s="14" t="str"/>
    </x:row>
    <x:row r="34">
      <x:c r="A34" s="14" t="str">
        <x:v>BN-P1-021</x:v>
      </x:c>
      <x:c r="B34" s="14" t="str">
        <x:v>Recipe Catalog &amp; Verified Content</x:v>
      </x:c>
      <x:c r="C34" s="14" t="str">
        <x:v>FR-REC-006</x:v>
      </x:c>
      <x:c r="D34" s="14" t="str">
        <x:v>Với vai trò user/content editor, tôi cần creator/user có thể submit recipe để review hoặc public theo policy.</x:v>
      </x:c>
      <x:c r="E34" s="14" t="str">
        <x:v>FR-REC-006</x:v>
      </x:c>
      <x:c r="F34" s="14" t="str">
        <x:v>Should</x:v>
      </x:c>
      <x:c r="G34" s="14" t="str">
        <x:v>P1 Core Cooking</x:v>
      </x:c>
      <x:c r="H34" s="14" t="str">
        <x:v>BN-P0-001,BN-P0-004,BN-P0-007</x:v>
      </x:c>
      <x:c r="I34" s="14" t="str">
        <x:v>Recipe/CMS domain services, validation, version publishing</x:v>
      </x:c>
      <x:c r="J34" s="14" t="str">
        <x:v>Recipe detail/catalog/editor/verified badges UI</x:v>
      </x:c>
      <x:c r="K34" s="14" t="str">
        <x:v>recipe/ingredient/version/taxonomy/media schema</x:v>
      </x:c>
      <x:c r="L34" s="14" t="str"/>
      <x:c r="M34" s="14" t="str">
        <x:v>Test functional path + negative/authorization cases for FR-REC-006</x:v>
      </x:c>
      <x:c r="N34" s="14" t="str">
        <x:v>Nội dung community gắn nhãn nguồn rõ ràng.</x:v>
      </x:c>
      <x:c r="O34" s="14" t="str">
        <x:v>5</x:v>
      </x:c>
      <x:c r="P34" s="14" t="str">
        <x:v>Not Started</x:v>
      </x:c>
      <x:c r="Q34" s="14" t="str">
        <x:v>Unassigned</x:v>
      </x:c>
      <x:c r="R34" s="14" t="str"/>
    </x:row>
    <x:row r="35">
      <x:c r="A35" s="14" t="str">
        <x:v>BN-P2-022</x:v>
      </x:c>
      <x:c r="B35" s="14" t="str">
        <x:v>Recipe Personalization &amp; Evolution</x:v>
      </x:c>
      <x:c r="C35" s="14" t="str">
        <x:v>FR-EVO-001</x:v>
      </x:c>
      <x:c r="D35" s="14" t="str">
        <x:v>Với vai trò user, tôi cần sinh bản recipe cá nhân dựa trên Taste DNA, serving, household, diet, equipment và history.</x:v>
      </x:c>
      <x:c r="E35" s="14" t="str">
        <x:v>FR-EVO-001</x:v>
      </x:c>
      <x:c r="F35" s="14" t="str">
        <x:v>Must</x:v>
      </x:c>
      <x:c r="G35" s="14" t="str">
        <x:v>P2 Personalization</x:v>
      </x:c>
      <x:c r="H35" s="14" t="str">
        <x:v>BN-P0-001,BN-P0-004,BN-P0-007, core cook + feedback</x:v>
      </x:c>
      <x:c r="I35" s="14" t="str">
        <x:v>Personalization/version/diff/rollback/fork services</x:v>
      </x:c>
      <x:c r="J35" s="14" t="str">
        <x:v>Personalized diff/version compare/pin/rollback/fork UI</x:v>
      </x:c>
      <x:c r="K35" s="14" t="str">
        <x:v>personal_recipe_version/diff/lineage/adjustment schema</x:v>
      </x:c>
      <x:c r="L35" s="14" t="str">
        <x:v>Adjustment rules + explanation generation + guardrails</x:v>
      </x:c>
      <x:c r="M35" s="14" t="str">
        <x:v>Test functional path + negative/authorization cases for FR-EVO-001</x:v>
      </x:c>
      <x:c r="N35" s="14" t="str">
        <x:v>Luôn hiển thị các thay đổi so với bản chuẩn.</x:v>
      </x:c>
      <x:c r="O35" s="14" t="str">
        <x:v>8</x:v>
      </x:c>
      <x:c r="P35" s="14" t="str">
        <x:v>Not Started</x:v>
      </x:c>
      <x:c r="Q35" s="14" t="str">
        <x:v>Unassigned</x:v>
      </x:c>
      <x:c r="R35" s="14" t="str"/>
    </x:row>
    <x:row r="36">
      <x:c r="A36" s="14" t="str">
        <x:v>BN-P2-023</x:v>
      </x:c>
      <x:c r="B36" s="14" t="str">
        <x:v>Recipe Personalization &amp; Evolution</x:v>
      </x:c>
      <x:c r="C36" s="14" t="str">
        <x:v>FR-EVO-002</x:v>
      </x:c>
      <x:c r="D36" s="14" t="str">
        <x:v>Với vai trò user, tôi cần sau cook feedback, tạo version V2/V3... với diff định lượng, lý do và confidence.</x:v>
      </x:c>
      <x:c r="E36" s="14" t="str">
        <x:v>FR-EVO-002</x:v>
      </x:c>
      <x:c r="F36" s="14" t="str">
        <x:v>Must</x:v>
      </x:c>
      <x:c r="G36" s="14" t="str">
        <x:v>P2 Personalization</x:v>
      </x:c>
      <x:c r="H36" s="14" t="str">
        <x:v>BN-P0-001,BN-P0-004,BN-P0-007, core cook + feedback</x:v>
      </x:c>
      <x:c r="I36" s="14" t="str">
        <x:v>Personalization/version/diff/rollback/fork services</x:v>
      </x:c>
      <x:c r="J36" s="14" t="str">
        <x:v>Personalized diff/version compare/pin/rollback/fork UI</x:v>
      </x:c>
      <x:c r="K36" s="14" t="str">
        <x:v>personal_recipe_version/diff/lineage/adjustment schema</x:v>
      </x:c>
      <x:c r="L36" s="14" t="str">
        <x:v>Adjustment rules + explanation generation + guardrails</x:v>
      </x:c>
      <x:c r="M36" s="14" t="str">
        <x:v>Test functional path + negative/authorization cases for FR-EVO-002</x:v>
      </x:c>
      <x:c r="N36" s="14" t="str">
        <x:v>Không thay đổi silent; user có thể accept/reject.</x:v>
      </x:c>
      <x:c r="O36" s="14" t="str">
        <x:v>8</x:v>
      </x:c>
      <x:c r="P36" s="14" t="str">
        <x:v>Not Started</x:v>
      </x:c>
      <x:c r="Q36" s="14" t="str">
        <x:v>Unassigned</x:v>
      </x:c>
      <x:c r="R36" s="14" t="str"/>
    </x:row>
    <x:row r="37">
      <x:c r="A37" s="14" t="str">
        <x:v>BN-P2-024</x:v>
      </x:c>
      <x:c r="B37" s="14" t="str">
        <x:v>Recipe Personalization &amp; Evolution</x:v>
      </x:c>
      <x:c r="C37" s="14" t="str">
        <x:v>FR-EVO-003</x:v>
      </x:c>
      <x:c r="D37" s="14" t="str">
        <x:v>Với vai trò user, tôi cần user có thể pin một version làm “My Best Version”, rollback hoặc compare 2 versions.</x:v>
      </x:c>
      <x:c r="E37" s="14" t="str">
        <x:v>FR-EVO-003</x:v>
      </x:c>
      <x:c r="F37" s="14" t="str">
        <x:v>Must</x:v>
      </x:c>
      <x:c r="G37" s="14" t="str">
        <x:v>P2 Personalization</x:v>
      </x:c>
      <x:c r="H37" s="14" t="str">
        <x:v>BN-P0-001,BN-P0-004,BN-P0-007, core cook + feedback</x:v>
      </x:c>
      <x:c r="I37" s="14" t="str">
        <x:v>Personalization/version/diff/rollback/fork services</x:v>
      </x:c>
      <x:c r="J37" s="14" t="str">
        <x:v>Personalized diff/version compare/pin/rollback/fork UI</x:v>
      </x:c>
      <x:c r="K37" s="14" t="str">
        <x:v>personal_recipe_version/diff/lineage/adjustment schema</x:v>
      </x:c>
      <x:c r="L37" s="14" t="str">
        <x:v>Adjustment rules + explanation generation + guardrails</x:v>
      </x:c>
      <x:c r="M37" s="14" t="str">
        <x:v>Test functional path + negative/authorization cases for FR-EVO-003</x:v>
      </x:c>
      <x:c r="N37" s="14" t="str">
        <x:v>Lineage không bị mất.</x:v>
      </x:c>
      <x:c r="O37" s="14" t="str">
        <x:v>8</x:v>
      </x:c>
      <x:c r="P37" s="14" t="str">
        <x:v>Not Started</x:v>
      </x:c>
      <x:c r="Q37" s="14" t="str">
        <x:v>Unassigned</x:v>
      </x:c>
      <x:c r="R37" s="14" t="str"/>
    </x:row>
    <x:row r="38">
      <x:c r="A38" s="14" t="str">
        <x:v>BN-P2-025</x:v>
      </x:c>
      <x:c r="B38" s="14" t="str">
        <x:v>Recipe Personalization &amp; Evolution</x:v>
      </x:c>
      <x:c r="C38" s="14" t="str">
        <x:v>FR-EVO-004</x:v>
      </x:c>
      <x:c r="D38" s="14" t="str">
        <x:v>Với vai trò user, tôi cần recipe Fork: fork recipe của creator/user khác thành nhánh riêng và giữ attribution.</x:v>
      </x:c>
      <x:c r="E38" s="14" t="str">
        <x:v>FR-EVO-004</x:v>
      </x:c>
      <x:c r="F38" s="14" t="str">
        <x:v>Should</x:v>
      </x:c>
      <x:c r="G38" s="14" t="str">
        <x:v>P2 Personalization</x:v>
      </x:c>
      <x:c r="H38" s="14" t="str">
        <x:v>BN-P0-001,BN-P0-004,BN-P0-007, core cook + feedback</x:v>
      </x:c>
      <x:c r="I38" s="14" t="str">
        <x:v>Personalization/version/diff/rollback/fork services</x:v>
      </x:c>
      <x:c r="J38" s="14" t="str">
        <x:v>Personalized diff/version compare/pin/rollback/fork UI</x:v>
      </x:c>
      <x:c r="K38" s="14" t="str">
        <x:v>personal_recipe_version/diff/lineage/adjustment schema</x:v>
      </x:c>
      <x:c r="L38" s="14" t="str">
        <x:v>Adjustment rules + explanation generation + guardrails</x:v>
      </x:c>
      <x:c r="M38" s="14" t="str">
        <x:v>Test functional path + negative/authorization cases for FR-EVO-004</x:v>
      </x:c>
      <x:c r="N38" s="14" t="str">
        <x:v>Có source chain và license rules.</x:v>
      </x:c>
      <x:c r="O38" s="14" t="str">
        <x:v>5</x:v>
      </x:c>
      <x:c r="P38" s="14" t="str">
        <x:v>Not Started</x:v>
      </x:c>
      <x:c r="Q38" s="14" t="str">
        <x:v>Unassigned</x:v>
      </x:c>
      <x:c r="R38" s="14" t="str"/>
    </x:row>
    <x:row r="39">
      <x:c r="A39" s="14" t="str">
        <x:v>BN-P2-026</x:v>
      </x:c>
      <x:c r="B39" s="14" t="str">
        <x:v>Recipe Personalization &amp; Evolution</x:v>
      </x:c>
      <x:c r="C39" s="14" t="str">
        <x:v>FR-EVO-005</x:v>
      </x:c>
      <x:c r="D39" s="14" t="str">
        <x:v>Với vai trò user, tôi cần tự động scale recipe theo serving nhưng giữ ratio/constraint đặc thù.</x:v>
      </x:c>
      <x:c r="E39" s="14" t="str">
        <x:v>FR-EVO-005</x:v>
      </x:c>
      <x:c r="F39" s="14" t="str">
        <x:v>Must</x:v>
      </x:c>
      <x:c r="G39" s="14" t="str">
        <x:v>P2 Personalization</x:v>
      </x:c>
      <x:c r="H39" s="14" t="str">
        <x:v>BN-P0-001,BN-P0-004,BN-P0-007, core cook + feedback</x:v>
      </x:c>
      <x:c r="I39" s="14" t="str">
        <x:v>Personalization/version/diff/rollback/fork services</x:v>
      </x:c>
      <x:c r="J39" s="14" t="str">
        <x:v>Personalized diff/version compare/pin/rollback/fork UI</x:v>
      </x:c>
      <x:c r="K39" s="14" t="str">
        <x:v>personal_recipe_version/diff/lineage/adjustment schema</x:v>
      </x:c>
      <x:c r="L39" s="14" t="str">
        <x:v>Adjustment rules + explanation generation + guardrails</x:v>
      </x:c>
      <x:c r="M39" s="14" t="str">
        <x:v>Test functional path + negative/authorization cases for FR-EVO-005</x:v>
      </x:c>
      <x:c r="N39" s="14" t="str">
        <x:v>Có rounding rule theo unit/ingredient.</x:v>
      </x:c>
      <x:c r="O39" s="14" t="str">
        <x:v>8</x:v>
      </x:c>
      <x:c r="P39" s="14" t="str">
        <x:v>Not Started</x:v>
      </x:c>
      <x:c r="Q39" s="14" t="str">
        <x:v>Unassigned</x:v>
      </x:c>
      <x:c r="R39" s="14" t="str"/>
    </x:row>
    <x:row r="40">
      <x:c r="A40" s="14" t="str">
        <x:v>BN-P2-027</x:v>
      </x:c>
      <x:c r="B40" s="14" t="str">
        <x:v>Recipe Personalization &amp; Evolution</x:v>
      </x:c>
      <x:c r="C40" s="14" t="str">
        <x:v>FR-EVO-006</x:v>
      </x:c>
      <x:c r="D40" s="14" t="str">
        <x:v>Với vai trò user, tôi cần không tự thay đổi ingredient liên quan dị ứng/an toàn nếu không có xác nhận.</x:v>
      </x:c>
      <x:c r="E40" s="14" t="str">
        <x:v>FR-EVO-006</x:v>
      </x:c>
      <x:c r="F40" s="14" t="str">
        <x:v>Must</x:v>
      </x:c>
      <x:c r="G40" s="14" t="str">
        <x:v>P2 Personalization</x:v>
      </x:c>
      <x:c r="H40" s="14" t="str">
        <x:v>BN-P0-001,BN-P0-004,BN-P0-007, core cook + feedback</x:v>
      </x:c>
      <x:c r="I40" s="14" t="str">
        <x:v>Personalization/version/diff/rollback/fork services</x:v>
      </x:c>
      <x:c r="J40" s="14" t="str">
        <x:v>Personalized diff/version compare/pin/rollback/fork UI</x:v>
      </x:c>
      <x:c r="K40" s="14" t="str">
        <x:v>personal_recipe_version/diff/lineage/adjustment schema</x:v>
      </x:c>
      <x:c r="L40" s="14" t="str">
        <x:v>Adjustment rules + explanation generation + guardrails</x:v>
      </x:c>
      <x:c r="M40" s="14" t="str">
        <x:v>Test functional path + negative/authorization cases for FR-EVO-006</x:v>
      </x:c>
      <x:c r="N40" s="14" t="str">
        <x:v>Safety constraint hard-coded.</x:v>
      </x:c>
      <x:c r="O40" s="14" t="str">
        <x:v>8</x:v>
      </x:c>
      <x:c r="P40" s="14" t="str">
        <x:v>Not Started</x:v>
      </x:c>
      <x:c r="Q40" s="14" t="str">
        <x:v>Unassigned</x:v>
      </x:c>
      <x:c r="R40" s="14" t="str"/>
    </x:row>
    <x:row r="41">
      <x:c r="A41" s="14" t="str">
        <x:v>BN-P1-028</x:v>
      </x:c>
      <x:c r="B41" s="14" t="str">
        <x:v>Cook Mode &amp; Hands-free</x:v>
      </x:c>
      <x:c r="C41" s="14" t="str">
        <x:v>FR-COOK-001</x:v>
      </x:c>
      <x:c r="D41" s="14" t="str">
        <x:v>Với vai trò cook, tôi cần cook Mode hiển thị từng bước lớn, ingredient tại bước, timer, nhiệt độ và progress.</x:v>
      </x:c>
      <x:c r="E41" s="14" t="str">
        <x:v>FR-COOK-001</x:v>
      </x:c>
      <x:c r="F41" s="14" t="str">
        <x:v>Must</x:v>
      </x:c>
      <x:c r="G41" s="14" t="str">
        <x:v>P1 Core Cooking</x:v>
      </x:c>
      <x:c r="H41" s="14" t="str">
        <x:v>BN-P0-001,BN-P0-004,BN-P0-007</x:v>
      </x:c>
      <x:c r="I41" s="14" t="str">
        <x:v>Cook session state machine, timers/events/offline sync APIs</x:v>
      </x:c>
      <x:c r="J41" s="14" t="str">
        <x:v>Step-by-step Cook Mode/timer/voice/offline UX</x:v>
      </x:c>
      <x:c r="K41" s="14" t="str">
        <x:v>cook_session/cook_event/timer/deviation schema</x:v>
      </x:c>
      <x:c r="L41" s="14" t="str"/>
      <x:c r="M41" s="14" t="str">
        <x:v>Test functional path + negative/authorization cases for FR-COOK-001</x:v>
      </x:c>
      <x:c r="N41" s="14" t="str">
        <x:v>Screen-awake optional; font lớn.</x:v>
      </x:c>
      <x:c r="O41" s="14" t="str">
        <x:v>5</x:v>
      </x:c>
      <x:c r="P41" s="14" t="str">
        <x:v>Not Started</x:v>
      </x:c>
      <x:c r="Q41" s="14" t="str">
        <x:v>Unassigned</x:v>
      </x:c>
      <x:c r="R41" s="14" t="str"/>
    </x:row>
    <x:row r="42">
      <x:c r="A42" s="14" t="str">
        <x:v>BN-P1-029</x:v>
      </x:c>
      <x:c r="B42" s="14" t="str">
        <x:v>Cook Mode &amp; Hands-free</x:v>
      </x:c>
      <x:c r="C42" s="14" t="str">
        <x:v>FR-COOK-002</x:v>
      </x:c>
      <x:c r="D42" s="14" t="str">
        <x:v>Với vai trò cook, tôi cần voice/hands-free command: tiếp theo, quay lại, đặt timer, đọc lại, còn bao lâu, đổi khẩu phần.</x:v>
      </x:c>
      <x:c r="E42" s="14" t="str">
        <x:v>FR-COOK-002</x:v>
      </x:c>
      <x:c r="F42" s="14" t="str">
        <x:v>Should</x:v>
      </x:c>
      <x:c r="G42" s="14" t="str">
        <x:v>P1 Core Cooking</x:v>
      </x:c>
      <x:c r="H42" s="14" t="str">
        <x:v>BN-P0-001,BN-P0-004,BN-P0-007</x:v>
      </x:c>
      <x:c r="I42" s="14" t="str">
        <x:v>Cook session state machine, timers/events/offline sync APIs</x:v>
      </x:c>
      <x:c r="J42" s="14" t="str">
        <x:v>Step-by-step Cook Mode/timer/voice/offline UX</x:v>
      </x:c>
      <x:c r="K42" s="14" t="str">
        <x:v>cook_session/cook_event/timer/deviation schema</x:v>
      </x:c>
      <x:c r="L42" s="14" t="str"/>
      <x:c r="M42" s="14" t="str">
        <x:v>Test functional path + negative/authorization cases for FR-COOK-002</x:v>
      </x:c>
      <x:c r="N42" s="14" t="str">
        <x:v>Không yêu cầu chạm màn hình trong luồng chính.</x:v>
      </x:c>
      <x:c r="O42" s="14" t="str">
        <x:v>5</x:v>
      </x:c>
      <x:c r="P42" s="14" t="str">
        <x:v>Not Started</x:v>
      </x:c>
      <x:c r="Q42" s="14" t="str">
        <x:v>Unassigned</x:v>
      </x:c>
      <x:c r="R42" s="14" t="str"/>
    </x:row>
    <x:row r="43">
      <x:c r="A43" s="14" t="str">
        <x:v>BN-P1-030</x:v>
      </x:c>
      <x:c r="B43" s="14" t="str">
        <x:v>Cook Mode &amp; Hands-free</x:v>
      </x:c>
      <x:c r="C43" s="14" t="str">
        <x:v>FR-COOK-003</x:v>
      </x:c>
      <x:c r="D43" s="14" t="str">
        <x:v>Với vai trò cook, tôi cần hỗ trợ nhiều timer đồng thời, background notification và resume session.</x:v>
      </x:c>
      <x:c r="E43" s="14" t="str">
        <x:v>FR-COOK-003</x:v>
      </x:c>
      <x:c r="F43" s="14" t="str">
        <x:v>Must</x:v>
      </x:c>
      <x:c r="G43" s="14" t="str">
        <x:v>P1 Core Cooking</x:v>
      </x:c>
      <x:c r="H43" s="14" t="str">
        <x:v>BN-P0-001,BN-P0-004,BN-P0-007</x:v>
      </x:c>
      <x:c r="I43" s="14" t="str">
        <x:v>Cook session state machine, timers/events/offline sync APIs</x:v>
      </x:c>
      <x:c r="J43" s="14" t="str">
        <x:v>Step-by-step Cook Mode/timer/voice/offline UX</x:v>
      </x:c>
      <x:c r="K43" s="14" t="str">
        <x:v>cook_session/cook_event/timer/deviation schema</x:v>
      </x:c>
      <x:c r="L43" s="14" t="str"/>
      <x:c r="M43" s="14" t="str">
        <x:v>Test functional path + negative/authorization cases for FR-COOK-003</x:v>
      </x:c>
      <x:c r="N43" s="14" t="str">
        <x:v>Không mất timer khi app background/crash.</x:v>
      </x:c>
      <x:c r="O43" s="14" t="str">
        <x:v>5</x:v>
      </x:c>
      <x:c r="P43" s="14" t="str">
        <x:v>Not Started</x:v>
      </x:c>
      <x:c r="Q43" s="14" t="str">
        <x:v>Unassigned</x:v>
      </x:c>
      <x:c r="R43" s="14" t="str"/>
    </x:row>
    <x:row r="44">
      <x:c r="A44" s="14" t="str">
        <x:v>BN-P1-031</x:v>
      </x:c>
      <x:c r="B44" s="14" t="str">
        <x:v>Cook Mode &amp; Hands-free</x:v>
      </x:c>
      <x:c r="C44" s="14" t="str">
        <x:v>FR-COOK-004</x:v>
      </x:c>
      <x:c r="D44" s="14" t="str">
        <x:v>Với vai trò cook, tôi cần cho phép log thay thế nguyên liệu, quantity thực tế, thời gian thực tế và deviation ngay khi nấu.</x:v>
      </x:c>
      <x:c r="E44" s="14" t="str">
        <x:v>FR-COOK-004</x:v>
      </x:c>
      <x:c r="F44" s="14" t="str">
        <x:v>Should</x:v>
      </x:c>
      <x:c r="G44" s="14" t="str">
        <x:v>P1 Core Cooking</x:v>
      </x:c>
      <x:c r="H44" s="14" t="str">
        <x:v>BN-P0-001,BN-P0-004,BN-P0-007</x:v>
      </x:c>
      <x:c r="I44" s="14" t="str">
        <x:v>Cook session state machine, timers/events/offline sync APIs</x:v>
      </x:c>
      <x:c r="J44" s="14" t="str">
        <x:v>Step-by-step Cook Mode/timer/voice/offline UX</x:v>
      </x:c>
      <x:c r="K44" s="14" t="str">
        <x:v>cook_session/cook_event/timer/deviation schema</x:v>
      </x:c>
      <x:c r="L44" s="14" t="str"/>
      <x:c r="M44" s="14" t="str">
        <x:v>Test functional path + negative/authorization cases for FR-COOK-004</x:v>
      </x:c>
      <x:c r="N44" s="14" t="str">
        <x:v>Dữ liệu dùng cho diagnosis/learning.</x:v>
      </x:c>
      <x:c r="O44" s="14" t="str">
        <x:v>5</x:v>
      </x:c>
      <x:c r="P44" s="14" t="str">
        <x:v>Not Started</x:v>
      </x:c>
      <x:c r="Q44" s="14" t="str">
        <x:v>Unassigned</x:v>
      </x:c>
      <x:c r="R44" s="14" t="str"/>
    </x:row>
    <x:row r="45">
      <x:c r="A45" s="14" t="str">
        <x:v>BN-P1-032</x:v>
      </x:c>
      <x:c r="B45" s="14" t="str">
        <x:v>Cook Mode &amp; Hands-free</x:v>
      </x:c>
      <x:c r="C45" s="14" t="str">
        <x:v>FR-COOK-005</x:v>
      </x:c>
      <x:c r="D45" s="14" t="str">
        <x:v>Với vai trò cook, tôi cần offline cooking cache cho recipe đã mở/lưu.</x:v>
      </x:c>
      <x:c r="E45" s="14" t="str">
        <x:v>FR-COOK-005</x:v>
      </x:c>
      <x:c r="F45" s="14" t="str">
        <x:v>Should</x:v>
      </x:c>
      <x:c r="G45" s="14" t="str">
        <x:v>P1 Core Cooking</x:v>
      </x:c>
      <x:c r="H45" s="14" t="str">
        <x:v>BN-P0-001,BN-P0-004,BN-P0-007</x:v>
      </x:c>
      <x:c r="I45" s="14" t="str">
        <x:v>Cook session state machine, timers/events/offline sync APIs</x:v>
      </x:c>
      <x:c r="J45" s="14" t="str">
        <x:v>Step-by-step Cook Mode/timer/voice/offline UX</x:v>
      </x:c>
      <x:c r="K45" s="14" t="str">
        <x:v>cook_session/cook_event/timer/deviation schema</x:v>
      </x:c>
      <x:c r="L45" s="14" t="str"/>
      <x:c r="M45" s="14" t="str">
        <x:v>Test functional path + negative/authorization cases for FR-COOK-005</x:v>
      </x:c>
      <x:c r="N45" s="14" t="str">
        <x:v>Feedback sync lại khi có mạng.</x:v>
      </x:c>
      <x:c r="O45" s="14" t="str">
        <x:v>5</x:v>
      </x:c>
      <x:c r="P45" s="14" t="str">
        <x:v>Not Started</x:v>
      </x:c>
      <x:c r="Q45" s="14" t="str">
        <x:v>Unassigned</x:v>
      </x:c>
      <x:c r="R45" s="14" t="str"/>
    </x:row>
    <x:row r="46">
      <x:c r="A46" s="14" t="str">
        <x:v>BN-P1-033</x:v>
      </x:c>
      <x:c r="B46" s="14" t="str">
        <x:v>Cook Mode &amp; Hands-free</x:v>
      </x:c>
      <x:c r="C46" s="14" t="str">
        <x:v>FR-COOK-006</x:v>
      </x:c>
      <x:c r="D46" s="14" t="str">
        <x:v>Với vai trò cook, tôi cần camera optional để ghi ảnh trước/sau và gắn vào cook history.</x:v>
      </x:c>
      <x:c r="E46" s="14" t="str">
        <x:v>FR-COOK-006</x:v>
      </x:c>
      <x:c r="F46" s="14" t="str">
        <x:v>Could</x:v>
      </x:c>
      <x:c r="G46" s="14" t="str">
        <x:v>P1 Core Cooking</x:v>
      </x:c>
      <x:c r="H46" s="14" t="str">
        <x:v>BN-P0-001,BN-P0-004,BN-P0-007</x:v>
      </x:c>
      <x:c r="I46" s="14" t="str">
        <x:v>Cook session state machine, timers/events/offline sync APIs</x:v>
      </x:c>
      <x:c r="J46" s="14" t="str">
        <x:v>Step-by-step Cook Mode/timer/voice/offline UX</x:v>
      </x:c>
      <x:c r="K46" s="14" t="str">
        <x:v>cook_session/cook_event/timer/deviation schema</x:v>
      </x:c>
      <x:c r="L46" s="14" t="str"/>
      <x:c r="M46" s="14" t="str">
        <x:v>Test functional path + negative/authorization cases for FR-COOK-006</x:v>
      </x:c>
      <x:c r="N46" s="14" t="str">
        <x:v>Media privacy mặc định private.</x:v>
      </x:c>
      <x:c r="O46" s="14" t="str">
        <x:v>3</x:v>
      </x:c>
      <x:c r="P46" s="14" t="str">
        <x:v>Not Started</x:v>
      </x:c>
      <x:c r="Q46" s="14" t="str">
        <x:v>Unassigned</x:v>
      </x:c>
      <x:c r="R46" s="14" t="str"/>
    </x:row>
    <x:row r="47">
      <x:c r="A47" s="14" t="str">
        <x:v>BN-P1-034</x:v>
      </x:c>
      <x:c r="B47" s="14" t="str">
        <x:v>Feedback &amp; Cooking Memory</x:v>
      </x:c>
      <x:c r="C47" s="14" t="str">
        <x:v>FR-FB-001</x:v>
      </x:c>
      <x:c r="D47" s="14" t="str">
        <x:v>Với vai trò cook, tôi cần feedback nhanh sau bữa: mặn/ngọt/chua/cay/béo/texture/nước + overall score.</x:v>
      </x:c>
      <x:c r="E47" s="14" t="str">
        <x:v>FR-FB-001</x:v>
      </x:c>
      <x:c r="F47" s="14" t="str">
        <x:v>Must</x:v>
      </x:c>
      <x:c r="G47" s="14" t="str">
        <x:v>P1 Core Cooking</x:v>
      </x:c>
      <x:c r="H47" s="14" t="str">
        <x:v>BN-P0-001,BN-P0-004,BN-P0-007</x:v>
      </x:c>
      <x:c r="I47" s="14" t="str">
        <x:v>Feedback ingestion, revision, cooking-memory aggregation</x:v>
      </x:c>
      <x:c r="J47" s="14" t="str">
        <x:v>10-second feedback, notes, cooking history/timeline UI</x:v>
      </x:c>
      <x:c r="K47" s="14" t="str">
        <x:v>feedback/cooking_memory/revision schema</x:v>
      </x:c>
      <x:c r="L47" s="14" t="str"/>
      <x:c r="M47" s="14" t="str">
        <x:v>Test functional path + negative/authorization cases for FR-FB-001</x:v>
      </x:c>
      <x:c r="N47" s="14" t="str">
        <x:v>Hoàn thành &lt;= 10 giây.</x:v>
      </x:c>
      <x:c r="O47" s="14" t="str">
        <x:v>5</x:v>
      </x:c>
      <x:c r="P47" s="14" t="str">
        <x:v>Not Started</x:v>
      </x:c>
      <x:c r="Q47" s="14" t="str">
        <x:v>Unassigned</x:v>
      </x:c>
      <x:c r="R47" s="14" t="str"/>
    </x:row>
    <x:row r="48">
      <x:c r="A48" s="14" t="str">
        <x:v>BN-P1-035</x:v>
      </x:c>
      <x:c r="B48" s="14" t="str">
        <x:v>Feedback &amp; Cooking Memory</x:v>
      </x:c>
      <x:c r="C48" s="14" t="str">
        <x:v>FR-FB-002</x:v>
      </x:c>
      <x:c r="D48" s="14" t="str">
        <x:v>Với vai trò cook, tôi cần cho phép free-text note, voice note và ghi chú riêng tư.</x:v>
      </x:c>
      <x:c r="E48" s="14" t="str">
        <x:v>FR-FB-002</x:v>
      </x:c>
      <x:c r="F48" s="14" t="str">
        <x:v>Should</x:v>
      </x:c>
      <x:c r="G48" s="14" t="str">
        <x:v>P1 Core Cooking</x:v>
      </x:c>
      <x:c r="H48" s="14" t="str">
        <x:v>BN-P0-001,BN-P0-004,BN-P0-007</x:v>
      </x:c>
      <x:c r="I48" s="14" t="str">
        <x:v>Feedback ingestion, revision, cooking-memory aggregation</x:v>
      </x:c>
      <x:c r="J48" s="14" t="str">
        <x:v>10-second feedback, notes, cooking history/timeline UI</x:v>
      </x:c>
      <x:c r="K48" s="14" t="str">
        <x:v>feedback/cooking_memory/revision schema</x:v>
      </x:c>
      <x:c r="L48" s="14" t="str"/>
      <x:c r="M48" s="14" t="str">
        <x:v>Test functional path + negative/authorization cases for FR-FB-002</x:v>
      </x:c>
      <x:c r="N48" s="14" t="str">
        <x:v>Private by default.</x:v>
      </x:c>
      <x:c r="O48" s="14" t="str">
        <x:v>5</x:v>
      </x:c>
      <x:c r="P48" s="14" t="str">
        <x:v>Not Started</x:v>
      </x:c>
      <x:c r="Q48" s="14" t="str">
        <x:v>Unassigned</x:v>
      </x:c>
      <x:c r="R48" s="14" t="str"/>
    </x:row>
    <x:row r="49">
      <x:c r="A49" s="14" t="str">
        <x:v>BN-P1-036</x:v>
      </x:c>
      <x:c r="B49" s="14" t="str">
        <x:v>Feedback &amp; Cooking Memory</x:v>
      </x:c>
      <x:c r="C49" s="14" t="str">
        <x:v>FR-FB-003</x:v>
      </x:c>
      <x:c r="D49" s="14" t="str">
        <x:v>Với vai trò cook, tôi cần cooking Memory lưu thời gian, household members, actual ingredients, feedback và ảnh.</x:v>
      </x:c>
      <x:c r="E49" s="14" t="str">
        <x:v>FR-FB-003</x:v>
      </x:c>
      <x:c r="F49" s="14" t="str">
        <x:v>Must</x:v>
      </x:c>
      <x:c r="G49" s="14" t="str">
        <x:v>P1 Core Cooking</x:v>
      </x:c>
      <x:c r="H49" s="14" t="str">
        <x:v>BN-P0-001,BN-P0-004,BN-P0-007</x:v>
      </x:c>
      <x:c r="I49" s="14" t="str">
        <x:v>Feedback ingestion, revision, cooking-memory aggregation</x:v>
      </x:c>
      <x:c r="J49" s="14" t="str">
        <x:v>10-second feedback, notes, cooking history/timeline UI</x:v>
      </x:c>
      <x:c r="K49" s="14" t="str">
        <x:v>feedback/cooking_memory/revision schema</x:v>
      </x:c>
      <x:c r="L49" s="14" t="str"/>
      <x:c r="M49" s="14" t="str">
        <x:v>Test functional path + negative/authorization cases for FR-FB-003</x:v>
      </x:c>
      <x:c r="N49" s="14" t="str">
        <x:v>Có timeline theo món/ngày.</x:v>
      </x:c>
      <x:c r="O49" s="14" t="str">
        <x:v>5</x:v>
      </x:c>
      <x:c r="P49" s="14" t="str">
        <x:v>Not Started</x:v>
      </x:c>
      <x:c r="Q49" s="14" t="str">
        <x:v>Unassigned</x:v>
      </x:c>
      <x:c r="R49" s="14" t="str"/>
    </x:row>
    <x:row r="50">
      <x:c r="A50" s="14" t="str">
        <x:v>BN-P1-037</x:v>
      </x:c>
      <x:c r="B50" s="14" t="str">
        <x:v>Feedback &amp; Cooking Memory</x:v>
      </x:c>
      <x:c r="C50" s="14" t="str">
        <x:v>FR-FB-004</x:v>
      </x:c>
      <x:c r="D50" s="14" t="str">
        <x:v>Với vai trò cook, tôi cần app phát hiện feedback mâu thuẫn/thiếu dữ liệu và hỏi follow-up tối thiểu.</x:v>
      </x:c>
      <x:c r="E50" s="14" t="str">
        <x:v>FR-FB-004</x:v>
      </x:c>
      <x:c r="F50" s="14" t="str">
        <x:v>Should</x:v>
      </x:c>
      <x:c r="G50" s="14" t="str">
        <x:v>P1 Core Cooking</x:v>
      </x:c>
      <x:c r="H50" s="14" t="str">
        <x:v>BN-P0-001,BN-P0-004,BN-P0-007</x:v>
      </x:c>
      <x:c r="I50" s="14" t="str">
        <x:v>Feedback ingestion, revision, cooking-memory aggregation</x:v>
      </x:c>
      <x:c r="J50" s="14" t="str">
        <x:v>10-second feedback, notes, cooking history/timeline UI</x:v>
      </x:c>
      <x:c r="K50" s="14" t="str">
        <x:v>feedback/cooking_memory/revision schema</x:v>
      </x:c>
      <x:c r="L50" s="14" t="str"/>
      <x:c r="M50" s="14" t="str">
        <x:v>Test functional path + negative/authorization cases for FR-FB-004</x:v>
      </x:c>
      <x:c r="N50" s="14" t="str">
        <x:v>Không gây fatigue.</x:v>
      </x:c>
      <x:c r="O50" s="14" t="str">
        <x:v>5</x:v>
      </x:c>
      <x:c r="P50" s="14" t="str">
        <x:v>Not Started</x:v>
      </x:c>
      <x:c r="Q50" s="14" t="str">
        <x:v>Unassigned</x:v>
      </x:c>
      <x:c r="R50" s="14" t="str"/>
    </x:row>
    <x:row r="51">
      <x:c r="A51" s="14" t="str">
        <x:v>BN-P1-038</x:v>
      </x:c>
      <x:c r="B51" s="14" t="str">
        <x:v>Feedback &amp; Cooking Memory</x:v>
      </x:c>
      <x:c r="C51" s="14" t="str">
        <x:v>FR-FB-005</x:v>
      </x:c>
      <x:c r="D51" s="14" t="str">
        <x:v>Với vai trò cook, tôi cần user có thể sửa feedback cũ; engine re-compute ảnh hưởng khi cần.</x:v>
      </x:c>
      <x:c r="E51" s="14" t="str">
        <x:v>FR-FB-005</x:v>
      </x:c>
      <x:c r="F51" s="14" t="str">
        <x:v>Should</x:v>
      </x:c>
      <x:c r="G51" s="14" t="str">
        <x:v>P1 Core Cooking</x:v>
      </x:c>
      <x:c r="H51" s="14" t="str">
        <x:v>BN-P0-001,BN-P0-004,BN-P0-007</x:v>
      </x:c>
      <x:c r="I51" s="14" t="str">
        <x:v>Feedback ingestion, revision, cooking-memory aggregation</x:v>
      </x:c>
      <x:c r="J51" s="14" t="str">
        <x:v>10-second feedback, notes, cooking history/timeline UI</x:v>
      </x:c>
      <x:c r="K51" s="14" t="str">
        <x:v>feedback/cooking_memory/revision schema</x:v>
      </x:c>
      <x:c r="L51" s="14" t="str"/>
      <x:c r="M51" s="14" t="str">
        <x:v>Test functional path + negative/authorization cases for FR-FB-005</x:v>
      </x:c>
      <x:c r="N51" s="14" t="str">
        <x:v>Audit revision retained.</x:v>
      </x:c>
      <x:c r="O51" s="14" t="str">
        <x:v>5</x:v>
      </x:c>
      <x:c r="P51" s="14" t="str">
        <x:v>Not Started</x:v>
      </x:c>
      <x:c r="Q51" s="14" t="str">
        <x:v>Unassigned</x:v>
      </x:c>
      <x:c r="R51" s="14" t="str"/>
    </x:row>
    <x:row r="52">
      <x:c r="A52" s="14" t="str">
        <x:v>BN-P3-039</x:v>
      </x:c>
      <x:c r="B52" s="14" t="str">
        <x:v>Meal Planning</x:v>
      </x:c>
      <x:c r="C52" s="14" t="str">
        <x:v>FR-MEAL-001</x:v>
      </x:c>
      <x:c r="D52" s="14" t="str">
        <x:v>Với vai trò user/household, tôi cần sinh meal plan ngày/tuần/tháng theo household, budget, time, pantry, preference và lịch sử.</x:v>
      </x:c>
      <x:c r="E52" s="14" t="str">
        <x:v>FR-MEAL-001</x:v>
      </x:c>
      <x:c r="F52" s="14" t="str">
        <x:v>Must</x:v>
      </x:c>
      <x:c r="G52" s="14" t="str">
        <x:v>P3 Household &amp; Planning</x:v>
      </x:c>
      <x:c r="H52" s="14" t="str">
        <x:v>BN-P0-001,BN-P0-004,BN-P0-007, recipe + household</x:v>
      </x:c>
      <x:c r="I52" s="14" t="str">
        <x:v>Planner constraint engine, plan CRUD/regeneration</x:v>
      </x:c>
      <x:c r="J52" s="14" t="str">
        <x:v>Calendar/plan generator/lock/regenerate/drag-drop UI</x:v>
      </x:c>
      <x:c r="K52" s="14" t="str">
        <x:v>meal_plan/meal_item/template/constraint schema</x:v>
      </x:c>
      <x:c r="L52" s="14" t="str">
        <x:v>Constraint optimization/scoring + explanation</x:v>
      </x:c>
      <x:c r="M52" s="14" t="str">
        <x:v>Test functional path + negative/authorization cases for FR-MEAL-001</x:v>
      </x:c>
      <x:c r="N52" s="14" t="str">
        <x:v>Có regenerate từng bữa hoặc toàn plan.</x:v>
      </x:c>
      <x:c r="O52" s="14" t="str">
        <x:v>8</x:v>
      </x:c>
      <x:c r="P52" s="14" t="str">
        <x:v>Not Started</x:v>
      </x:c>
      <x:c r="Q52" s="14" t="str">
        <x:v>Unassigned</x:v>
      </x:c>
      <x:c r="R52" s="14" t="str"/>
    </x:row>
    <x:row r="53">
      <x:c r="A53" s="14" t="str">
        <x:v>BN-P3-040</x:v>
      </x:c>
      <x:c r="B53" s="14" t="str">
        <x:v>Meal Planning</x:v>
      </x:c>
      <x:c r="C53" s="14" t="str">
        <x:v>FR-MEAL-002</x:v>
      </x:c>
      <x:c r="D53" s="14" t="str">
        <x:v>Với vai trò user/household, tôi cần hiểu cấu trúc mâm cơm Việt: cơm + món mặn + rau + canh + món phụ/nước chấm.</x:v>
      </x:c>
      <x:c r="E53" s="14" t="str">
        <x:v>FR-MEAL-002</x:v>
      </x:c>
      <x:c r="F53" s="14" t="str">
        <x:v>Must</x:v>
      </x:c>
      <x:c r="G53" s="14" t="str">
        <x:v>P3 Household &amp; Planning</x:v>
      </x:c>
      <x:c r="H53" s="14" t="str">
        <x:v>BN-P0-001,BN-P0-004,BN-P0-007, recipe + household</x:v>
      </x:c>
      <x:c r="I53" s="14" t="str">
        <x:v>Planner constraint engine, plan CRUD/regeneration</x:v>
      </x:c>
      <x:c r="J53" s="14" t="str">
        <x:v>Calendar/plan generator/lock/regenerate/drag-drop UI</x:v>
      </x:c>
      <x:c r="K53" s="14" t="str">
        <x:v>meal_plan/meal_item/template/constraint schema</x:v>
      </x:c>
      <x:c r="L53" s="14" t="str">
        <x:v>Constraint optimization/scoring + explanation</x:v>
      </x:c>
      <x:c r="M53" s="14" t="str">
        <x:v>Test functional path + negative/authorization cases for FR-MEAL-002</x:v>
      </x:c>
      <x:c r="N53" s="14" t="str">
        <x:v>Tránh xung đột hương vị/kỹ thuật quá giống.</x:v>
      </x:c>
      <x:c r="O53" s="14" t="str">
        <x:v>8</x:v>
      </x:c>
      <x:c r="P53" s="14" t="str">
        <x:v>Not Started</x:v>
      </x:c>
      <x:c r="Q53" s="14" t="str">
        <x:v>Unassigned</x:v>
      </x:c>
      <x:c r="R53" s="14" t="str"/>
    </x:row>
    <x:row r="54">
      <x:c r="A54" s="14" t="str">
        <x:v>BN-P3-041</x:v>
      </x:c>
      <x:c r="B54" s="14" t="str">
        <x:v>Meal Planning</x:v>
      </x:c>
      <x:c r="C54" s="14" t="str">
        <x:v>FR-MEAL-003</x:v>
      </x:c>
      <x:c r="D54" s="14" t="str">
        <x:v>Với vai trò user/household, tôi cần cho phép khóa món/bữa/ngày và regenerate phần còn lại.</x:v>
      </x:c>
      <x:c r="E54" s="14" t="str">
        <x:v>FR-MEAL-003</x:v>
      </x:c>
      <x:c r="F54" s="14" t="str">
        <x:v>Must</x:v>
      </x:c>
      <x:c r="G54" s="14" t="str">
        <x:v>P3 Household &amp; Planning</x:v>
      </x:c>
      <x:c r="H54" s="14" t="str">
        <x:v>BN-P0-001,BN-P0-004,BN-P0-007, recipe + household</x:v>
      </x:c>
      <x:c r="I54" s="14" t="str">
        <x:v>Planner constraint engine, plan CRUD/regeneration</x:v>
      </x:c>
      <x:c r="J54" s="14" t="str">
        <x:v>Calendar/plan generator/lock/regenerate/drag-drop UI</x:v>
      </x:c>
      <x:c r="K54" s="14" t="str">
        <x:v>meal_plan/meal_item/template/constraint schema</x:v>
      </x:c>
      <x:c r="L54" s="14" t="str">
        <x:v>Constraint optimization/scoring + explanation</x:v>
      </x:c>
      <x:c r="M54" s="14" t="str">
        <x:v>Test functional path + negative/authorization cases for FR-MEAL-003</x:v>
      </x:c>
      <x:c r="N54" s="14" t="str">
        <x:v>Khóa không bị engine overwrite.</x:v>
      </x:c>
      <x:c r="O54" s="14" t="str">
        <x:v>8</x:v>
      </x:c>
      <x:c r="P54" s="14" t="str">
        <x:v>Not Started</x:v>
      </x:c>
      <x:c r="Q54" s="14" t="str">
        <x:v>Unassigned</x:v>
      </x:c>
      <x:c r="R54" s="14" t="str"/>
    </x:row>
    <x:row r="55">
      <x:c r="A55" s="14" t="str">
        <x:v>BN-P3-042</x:v>
      </x:c>
      <x:c r="B55" s="14" t="str">
        <x:v>Meal Planning</x:v>
      </x:c>
      <x:c r="C55" s="14" t="str">
        <x:v>FR-MEAL-004</x:v>
      </x:c>
      <x:c r="D55" s="14" t="str">
        <x:v>Với vai trò user/household, tôi cần tối ưu tái sử dụng nguyên liệu giữa các ngày để giảm lãng phí và số lần đi chợ.</x:v>
      </x:c>
      <x:c r="E55" s="14" t="str">
        <x:v>FR-MEAL-004</x:v>
      </x:c>
      <x:c r="F55" s="14" t="str">
        <x:v>Must</x:v>
      </x:c>
      <x:c r="G55" s="14" t="str">
        <x:v>P3 Household &amp; Planning</x:v>
      </x:c>
      <x:c r="H55" s="14" t="str">
        <x:v>BN-P0-001,BN-P0-004,BN-P0-007, recipe + household</x:v>
      </x:c>
      <x:c r="I55" s="14" t="str">
        <x:v>Planner constraint engine, plan CRUD/regeneration</x:v>
      </x:c>
      <x:c r="J55" s="14" t="str">
        <x:v>Calendar/plan generator/lock/regenerate/drag-drop UI</x:v>
      </x:c>
      <x:c r="K55" s="14" t="str">
        <x:v>meal_plan/meal_item/template/constraint schema</x:v>
      </x:c>
      <x:c r="L55" s="14" t="str">
        <x:v>Constraint optimization/scoring + explanation</x:v>
      </x:c>
      <x:c r="M55" s="14" t="str">
        <x:v>Test functional path + negative/authorization cases for FR-MEAL-004</x:v>
      </x:c>
      <x:c r="N55" s="14" t="str">
        <x:v>Có explanation về reuse.</x:v>
      </x:c>
      <x:c r="O55" s="14" t="str">
        <x:v>8</x:v>
      </x:c>
      <x:c r="P55" s="14" t="str">
        <x:v>Not Started</x:v>
      </x:c>
      <x:c r="Q55" s="14" t="str">
        <x:v>Unassigned</x:v>
      </x:c>
      <x:c r="R55" s="14" t="str"/>
    </x:row>
    <x:row r="56">
      <x:c r="A56" s="14" t="str">
        <x:v>BN-P3-043</x:v>
      </x:c>
      <x:c r="B56" s="14" t="str">
        <x:v>Meal Planning</x:v>
      </x:c>
      <x:c r="C56" s="14" t="str">
        <x:v>FR-MEAL-005</x:v>
      </x:c>
      <x:c r="D56" s="14" t="str">
        <x:v>Với vai trò user/household, tôi cần calendar view, drag-drop, meal template, recurring plan, ăn ngoài/skipped meal.</x:v>
      </x:c>
      <x:c r="E56" s="14" t="str">
        <x:v>FR-MEAL-005</x:v>
      </x:c>
      <x:c r="F56" s="14" t="str">
        <x:v>Should</x:v>
      </x:c>
      <x:c r="G56" s="14" t="str">
        <x:v>P3 Household &amp; Planning</x:v>
      </x:c>
      <x:c r="H56" s="14" t="str">
        <x:v>BN-P0-001,BN-P0-004,BN-P0-007, recipe + household</x:v>
      </x:c>
      <x:c r="I56" s="14" t="str">
        <x:v>Planner constraint engine, plan CRUD/regeneration</x:v>
      </x:c>
      <x:c r="J56" s="14" t="str">
        <x:v>Calendar/plan generator/lock/regenerate/drag-drop UI</x:v>
      </x:c>
      <x:c r="K56" s="14" t="str">
        <x:v>meal_plan/meal_item/template/constraint schema</x:v>
      </x:c>
      <x:c r="L56" s="14" t="str">
        <x:v>Constraint optimization/scoring + explanation</x:v>
      </x:c>
      <x:c r="M56" s="14" t="str">
        <x:v>Test functional path + negative/authorization cases for FR-MEAL-005</x:v>
      </x:c>
      <x:c r="N56" s="14" t="str">
        <x:v>Không tính shopping cho bữa ăn ngoài.</x:v>
      </x:c>
      <x:c r="O56" s="14" t="str">
        <x:v>5</x:v>
      </x:c>
      <x:c r="P56" s="14" t="str">
        <x:v>Not Started</x:v>
      </x:c>
      <x:c r="Q56" s="14" t="str">
        <x:v>Unassigned</x:v>
      </x:c>
      <x:c r="R56" s="14" t="str"/>
    </x:row>
    <x:row r="57">
      <x:c r="A57" s="14" t="str">
        <x:v>BN-P3-044</x:v>
      </x:c>
      <x:c r="B57" s="14" t="str">
        <x:v>Meal Planning</x:v>
      </x:c>
      <x:c r="C57" s="14" t="str">
        <x:v>FR-MEAL-006</x:v>
      </x:c>
      <x:c r="D57" s="14" t="str">
        <x:v>Với vai trò user/household, tôi cần theo dõi estimate cost, prep time, cooking load và diversity.</x:v>
      </x:c>
      <x:c r="E57" s="14" t="str">
        <x:v>FR-MEAL-006</x:v>
      </x:c>
      <x:c r="F57" s="14" t="str">
        <x:v>Should</x:v>
      </x:c>
      <x:c r="G57" s="14" t="str">
        <x:v>P3 Household &amp; Planning</x:v>
      </x:c>
      <x:c r="H57" s="14" t="str">
        <x:v>BN-P0-001,BN-P0-004,BN-P0-007, recipe + household</x:v>
      </x:c>
      <x:c r="I57" s="14" t="str">
        <x:v>Planner constraint engine, plan CRUD/regeneration</x:v>
      </x:c>
      <x:c r="J57" s="14" t="str">
        <x:v>Calendar/plan generator/lock/regenerate/drag-drop UI</x:v>
      </x:c>
      <x:c r="K57" s="14" t="str">
        <x:v>meal_plan/meal_item/template/constraint schema</x:v>
      </x:c>
      <x:c r="L57" s="14" t="str">
        <x:v>Constraint optimization/scoring + explanation</x:v>
      </x:c>
      <x:c r="M57" s="14" t="str">
        <x:v>Test functional path + negative/authorization cases for FR-MEAL-006</x:v>
      </x:c>
      <x:c r="N57" s="14" t="str">
        <x:v>Cost source có timestamp/region.</x:v>
      </x:c>
      <x:c r="O57" s="14" t="str">
        <x:v>5</x:v>
      </x:c>
      <x:c r="P57" s="14" t="str">
        <x:v>Not Started</x:v>
      </x:c>
      <x:c r="Q57" s="14" t="str">
        <x:v>Unassigned</x:v>
      </x:c>
      <x:c r="R57" s="14" t="str"/>
    </x:row>
    <x:row r="58">
      <x:c r="A58" s="14" t="str">
        <x:v>BN-P4-045</x:v>
      </x:c>
      <x:c r="B58" s="14" t="str">
        <x:v>Pantry &amp; Leftovers</x:v>
      </x:c>
      <x:c r="C58" s="14" t="str">
        <x:v>FR-PAN-001</x:v>
      </x:c>
      <x:c r="D58" s="14" t="str">
        <x:v>Với vai trò user/household, tôi cần pantry lưu ingredient, quantity, unit, purchase/open/expiry date, location và household owner.</x:v>
      </x:c>
      <x:c r="E58" s="14" t="str">
        <x:v>FR-PAN-001</x:v>
      </x:c>
      <x:c r="F58" s="14" t="str">
        <x:v>Must</x:v>
      </x:c>
      <x:c r="G58" s="14" t="str">
        <x:v>P4 Utility</x:v>
      </x:c>
      <x:c r="H58" s="14" t="str">
        <x:v>BN-P0-001,BN-P0-004,BN-P0-007, recipe + meal</x:v>
      </x:c>
      <x:c r="I58" s="14" t="str">
        <x:v>Inventory ledger, expiry, deduction/undo/reconciliation</x:v>
      </x:c>
      <x:c r="J58" s="14" t="str">
        <x:v>Pantry/expiry/leftover/stock adjustment UI</x:v>
      </x:c>
      <x:c r="K58" s="14" t="str">
        <x:v>pantry_batch/leftover/inventory_ledger schema</x:v>
      </x:c>
      <x:c r="L58" s="14" t="str"/>
      <x:c r="M58" s="14" t="str">
        <x:v>Test functional path + negative/authorization cases for FR-PAN-001</x:v>
      </x:c>
      <x:c r="N58" s="14" t="str">
        <x:v>Hỗ trợ manual + barcode/receipt/image optional.</x:v>
      </x:c>
      <x:c r="O58" s="14" t="str">
        <x:v>5</x:v>
      </x:c>
      <x:c r="P58" s="14" t="str">
        <x:v>Not Started</x:v>
      </x:c>
      <x:c r="Q58" s="14" t="str">
        <x:v>Unassigned</x:v>
      </x:c>
      <x:c r="R58" s="14" t="str"/>
    </x:row>
    <x:row r="59">
      <x:c r="A59" s="14" t="str">
        <x:v>BN-P4-046</x:v>
      </x:c>
      <x:c r="B59" s="14" t="str">
        <x:v>Pantry &amp; Leftovers</x:v>
      </x:c>
      <x:c r="C59" s="14" t="str">
        <x:v>FR-PAN-002</x:v>
      </x:c>
      <x:c r="D59" s="14" t="str">
        <x:v>Với vai trò user/household, tôi cần trừ tồn kho từ cook session và cho phép confirm/edit trước khi commit.</x:v>
      </x:c>
      <x:c r="E59" s="14" t="str">
        <x:v>FR-PAN-002</x:v>
      </x:c>
      <x:c r="F59" s="14" t="str">
        <x:v>Must</x:v>
      </x:c>
      <x:c r="G59" s="14" t="str">
        <x:v>P4 Utility</x:v>
      </x:c>
      <x:c r="H59" s="14" t="str">
        <x:v>BN-P0-001,BN-P0-004,BN-P0-007, recipe + meal</x:v>
      </x:c>
      <x:c r="I59" s="14" t="str">
        <x:v>Inventory ledger, expiry, deduction/undo/reconciliation</x:v>
      </x:c>
      <x:c r="J59" s="14" t="str">
        <x:v>Pantry/expiry/leftover/stock adjustment UI</x:v>
      </x:c>
      <x:c r="K59" s="14" t="str">
        <x:v>pantry_batch/leftover/inventory_ledger schema</x:v>
      </x:c>
      <x:c r="L59" s="14" t="str"/>
      <x:c r="M59" s="14" t="str">
        <x:v>Test functional path + negative/authorization cases for FR-PAN-002</x:v>
      </x:c>
      <x:c r="N59" s="14" t="str">
        <x:v>Không âm tồn kho silent.</x:v>
      </x:c>
      <x:c r="O59" s="14" t="str">
        <x:v>5</x:v>
      </x:c>
      <x:c r="P59" s="14" t="str">
        <x:v>Not Started</x:v>
      </x:c>
      <x:c r="Q59" s="14" t="str">
        <x:v>Unassigned</x:v>
      </x:c>
      <x:c r="R59" s="14" t="str"/>
    </x:row>
    <x:row r="60">
      <x:c r="A60" s="14" t="str">
        <x:v>BN-P4-047</x:v>
      </x:c>
      <x:c r="B60" s="14" t="str">
        <x:v>Pantry &amp; Leftovers</x:v>
      </x:c>
      <x:c r="C60" s="14" t="str">
        <x:v>FR-PAN-003</x:v>
      </x:c>
      <x:c r="D60" s="14" t="str">
        <x:v>Với vai trò user/household, tôi cần cảnh báo nguyên liệu sắp hết hạn và ưu tiên recommendation sử dụng trước.</x:v>
      </x:c>
      <x:c r="E60" s="14" t="str">
        <x:v>FR-PAN-003</x:v>
      </x:c>
      <x:c r="F60" s="14" t="str">
        <x:v>Must</x:v>
      </x:c>
      <x:c r="G60" s="14" t="str">
        <x:v>P4 Utility</x:v>
      </x:c>
      <x:c r="H60" s="14" t="str">
        <x:v>BN-P0-001,BN-P0-004,BN-P0-007, recipe + meal</x:v>
      </x:c>
      <x:c r="I60" s="14" t="str">
        <x:v>Inventory ledger, expiry, deduction/undo/reconciliation</x:v>
      </x:c>
      <x:c r="J60" s="14" t="str">
        <x:v>Pantry/expiry/leftover/stock adjustment UI</x:v>
      </x:c>
      <x:c r="K60" s="14" t="str">
        <x:v>pantry_batch/leftover/inventory_ledger schema</x:v>
      </x:c>
      <x:c r="L60" s="14" t="str"/>
      <x:c r="M60" s="14" t="str">
        <x:v>Test functional path + negative/authorization cases for FR-PAN-003</x:v>
      </x:c>
      <x:c r="N60" s="14" t="str">
        <x:v>User cấu hình threshold.</x:v>
      </x:c>
      <x:c r="O60" s="14" t="str">
        <x:v>5</x:v>
      </x:c>
      <x:c r="P60" s="14" t="str">
        <x:v>Not Started</x:v>
      </x:c>
      <x:c r="Q60" s="14" t="str">
        <x:v>Unassigned</x:v>
      </x:c>
      <x:c r="R60" s="14" t="str"/>
    </x:row>
    <x:row r="61">
      <x:c r="A61" s="14" t="str">
        <x:v>BN-P4-048</x:v>
      </x:c>
      <x:c r="B61" s="14" t="str">
        <x:v>Pantry &amp; Leftovers</x:v>
      </x:c>
      <x:c r="C61" s="14" t="str">
        <x:v>FR-PAN-004</x:v>
      </x:c>
      <x:c r="D61" s="14" t="str">
        <x:v>Với vai trò user/household, tôi cần leftover object lưu món còn lại, quantity, ngày nấu, storage và use-by.</x:v>
      </x:c>
      <x:c r="E61" s="14" t="str">
        <x:v>FR-PAN-004</x:v>
      </x:c>
      <x:c r="F61" s="14" t="str">
        <x:v>Should</x:v>
      </x:c>
      <x:c r="G61" s="14" t="str">
        <x:v>P4 Utility</x:v>
      </x:c>
      <x:c r="H61" s="14" t="str">
        <x:v>BN-P0-001,BN-P0-004,BN-P0-007, recipe + meal</x:v>
      </x:c>
      <x:c r="I61" s="14" t="str">
        <x:v>Inventory ledger, expiry, deduction/undo/reconciliation</x:v>
      </x:c>
      <x:c r="J61" s="14" t="str">
        <x:v>Pantry/expiry/leftover/stock adjustment UI</x:v>
      </x:c>
      <x:c r="K61" s="14" t="str">
        <x:v>pantry_batch/leftover/inventory_ledger schema</x:v>
      </x:c>
      <x:c r="L61" s="14" t="str"/>
      <x:c r="M61" s="14" t="str">
        <x:v>Test functional path + negative/authorization cases for FR-PAN-004</x:v>
      </x:c>
      <x:c r="N61" s="14" t="str">
        <x:v>Gợi ý reheat/transform an toàn.</x:v>
      </x:c>
      <x:c r="O61" s="14" t="str">
        <x:v>5</x:v>
      </x:c>
      <x:c r="P61" s="14" t="str">
        <x:v>Not Started</x:v>
      </x:c>
      <x:c r="Q61" s="14" t="str">
        <x:v>Unassigned</x:v>
      </x:c>
      <x:c r="R61" s="14" t="str"/>
    </x:row>
    <x:row r="62">
      <x:c r="A62" s="14" t="str">
        <x:v>BN-P4-049</x:v>
      </x:c>
      <x:c r="B62" s="14" t="str">
        <x:v>Pantry &amp; Leftovers</x:v>
      </x:c>
      <x:c r="C62" s="14" t="str">
        <x:v>FR-PAN-005</x:v>
      </x:c>
      <x:c r="D62" s="14" t="str">
        <x:v>Với vai trò user/household, tôi cần “Nấu từ những gì đang có” lọc món theo coverage pantry và missing ingredients.</x:v>
      </x:c>
      <x:c r="E62" s="14" t="str">
        <x:v>FR-PAN-005</x:v>
      </x:c>
      <x:c r="F62" s="14" t="str">
        <x:v>Must</x:v>
      </x:c>
      <x:c r="G62" s="14" t="str">
        <x:v>P4 Utility</x:v>
      </x:c>
      <x:c r="H62" s="14" t="str">
        <x:v>BN-P0-001,BN-P0-004,BN-P0-007, recipe + meal</x:v>
      </x:c>
      <x:c r="I62" s="14" t="str">
        <x:v>Inventory ledger, expiry, deduction/undo/reconciliation</x:v>
      </x:c>
      <x:c r="J62" s="14" t="str">
        <x:v>Pantry/expiry/leftover/stock adjustment UI</x:v>
      </x:c>
      <x:c r="K62" s="14" t="str">
        <x:v>pantry_batch/leftover/inventory_ledger schema</x:v>
      </x:c>
      <x:c r="L62" s="14" t="str"/>
      <x:c r="M62" s="14" t="str">
        <x:v>Test functional path + negative/authorization cases for FR-PAN-005</x:v>
      </x:c>
      <x:c r="N62" s="14" t="str">
        <x:v>Hiển thị % coverage và món cần mua thêm.</x:v>
      </x:c>
      <x:c r="O62" s="14" t="str">
        <x:v>5</x:v>
      </x:c>
      <x:c r="P62" s="14" t="str">
        <x:v>Not Started</x:v>
      </x:c>
      <x:c r="Q62" s="14" t="str">
        <x:v>Unassigned</x:v>
      </x:c>
      <x:c r="R62" s="14" t="str"/>
    </x:row>
    <x:row r="63">
      <x:c r="A63" s="14" t="str">
        <x:v>BN-P4-050</x:v>
      </x:c>
      <x:c r="B63" s="14" t="str">
        <x:v>Pantry &amp; Leftovers</x:v>
      </x:c>
      <x:c r="C63" s="14" t="str">
        <x:v>FR-PAN-006</x:v>
      </x:c>
      <x:c r="D63" s="14" t="str">
        <x:v>Với vai trò user/household, tôi cần hỗ trợ household stock reconciliation và inventory adjustment log.</x:v>
      </x:c>
      <x:c r="E63" s="14" t="str">
        <x:v>FR-PAN-006</x:v>
      </x:c>
      <x:c r="F63" s="14" t="str">
        <x:v>Could</x:v>
      </x:c>
      <x:c r="G63" s="14" t="str">
        <x:v>P4 Utility</x:v>
      </x:c>
      <x:c r="H63" s="14" t="str">
        <x:v>BN-P0-001,BN-P0-004,BN-P0-007, recipe + meal</x:v>
      </x:c>
      <x:c r="I63" s="14" t="str">
        <x:v>Inventory ledger, expiry, deduction/undo/reconciliation</x:v>
      </x:c>
      <x:c r="J63" s="14" t="str">
        <x:v>Pantry/expiry/leftover/stock adjustment UI</x:v>
      </x:c>
      <x:c r="K63" s="14" t="str">
        <x:v>pantry_batch/leftover/inventory_ledger schema</x:v>
      </x:c>
      <x:c r="L63" s="14" t="str"/>
      <x:c r="M63" s="14" t="str">
        <x:v>Test functional path + negative/authorization cases for FR-PAN-006</x:v>
      </x:c>
      <x:c r="N63" s="14" t="str">
        <x:v>Phục vụ user dùng thường xuyên.</x:v>
      </x:c>
      <x:c r="O63" s="14" t="str">
        <x:v>3</x:v>
      </x:c>
      <x:c r="P63" s="14" t="str">
        <x:v>Not Started</x:v>
      </x:c>
      <x:c r="Q63" s="14" t="str">
        <x:v>Unassigned</x:v>
      </x:c>
      <x:c r="R63" s="14" t="str"/>
    </x:row>
    <x:row r="64">
      <x:c r="A64" s="14" t="str">
        <x:v>BN-P4-051</x:v>
      </x:c>
      <x:c r="B64" s="14" t="str">
        <x:v>Shopping &amp; Budget</x:v>
      </x:c>
      <x:c r="C64" s="14" t="str">
        <x:v>FR-SHOP-001</x:v>
      </x:c>
      <x:c r="D64" s="14" t="str">
        <x:v>Với vai trò user/household, tôi cần sinh shopping list từ meal plan/pantry, merge ingredient theo canonical unit.</x:v>
      </x:c>
      <x:c r="E64" s="14" t="str">
        <x:v>FR-SHOP-001</x:v>
      </x:c>
      <x:c r="F64" s="14" t="str">
        <x:v>Must</x:v>
      </x:c>
      <x:c r="G64" s="14" t="str">
        <x:v>P4 Utility</x:v>
      </x:c>
      <x:c r="H64" s="14" t="str">
        <x:v>BN-P0-001,BN-P0-004,BN-P0-007, recipe + meal</x:v>
      </x:c>
      <x:c r="I64" s="14" t="str">
        <x:v>List generation/merge/budget/spend services</x:v>
      </x:c>
      <x:c r="J64" s="14" t="str">
        <x:v>Shopping list/budget/check-off/spend UI</x:v>
      </x:c>
      <x:c r="K64" s="14" t="str">
        <x:v>shopping_list/item/budget/spend schema</x:v>
      </x:c>
      <x:c r="L64" s="14" t="str"/>
      <x:c r="M64" s="14" t="str">
        <x:v>Test functional path + negative/authorization cases for FR-SHOP-001</x:v>
      </x:c>
      <x:c r="N64" s="14" t="str">
        <x:v>Trừ tồn kho khả dụng.</x:v>
      </x:c>
      <x:c r="O64" s="14" t="str">
        <x:v>5</x:v>
      </x:c>
      <x:c r="P64" s="14" t="str">
        <x:v>Not Started</x:v>
      </x:c>
      <x:c r="Q64" s="14" t="str">
        <x:v>Unassigned</x:v>
      </x:c>
      <x:c r="R64" s="14" t="str"/>
    </x:row>
    <x:row r="65">
      <x:c r="A65" s="14" t="str">
        <x:v>BN-P4-052</x:v>
      </x:c>
      <x:c r="B65" s="14" t="str">
        <x:v>Shopping &amp; Budget</x:v>
      </x:c>
      <x:c r="C65" s="14" t="str">
        <x:v>FR-SHOP-002</x:v>
      </x:c>
      <x:c r="D65" s="14" t="str">
        <x:v>Với vai trò user/household, tôi cần chia list theo nhóm hàng/chợ/siêu thị và người phụ trách.</x:v>
      </x:c>
      <x:c r="E65" s="14" t="str">
        <x:v>FR-SHOP-002</x:v>
      </x:c>
      <x:c r="F65" s="14" t="str">
        <x:v>Should</x:v>
      </x:c>
      <x:c r="G65" s="14" t="str">
        <x:v>P4 Utility</x:v>
      </x:c>
      <x:c r="H65" s="14" t="str">
        <x:v>BN-P0-001,BN-P0-004,BN-P0-007, recipe + meal</x:v>
      </x:c>
      <x:c r="I65" s="14" t="str">
        <x:v>List generation/merge/budget/spend services</x:v>
      </x:c>
      <x:c r="J65" s="14" t="str">
        <x:v>Shopping list/budget/check-off/spend UI</x:v>
      </x:c>
      <x:c r="K65" s="14" t="str">
        <x:v>shopping_list/item/budget/spend schema</x:v>
      </x:c>
      <x:c r="L65" s="14" t="str"/>
      <x:c r="M65" s="14" t="str">
        <x:v>Test functional path + negative/authorization cases for FR-SHOP-002</x:v>
      </x:c>
      <x:c r="N65" s="14" t="str">
        <x:v>Real-time shared check-off.</x:v>
      </x:c>
      <x:c r="O65" s="14" t="str">
        <x:v>5</x:v>
      </x:c>
      <x:c r="P65" s="14" t="str">
        <x:v>Not Started</x:v>
      </x:c>
      <x:c r="Q65" s="14" t="str">
        <x:v>Unassigned</x:v>
      </x:c>
      <x:c r="R65" s="14" t="str"/>
    </x:row>
    <x:row r="66">
      <x:c r="A66" s="14" t="str">
        <x:v>BN-P4-053</x:v>
      </x:c>
      <x:c r="B66" s="14" t="str">
        <x:v>Shopping &amp; Budget</x:v>
      </x:c>
      <x:c r="C66" s="14" t="str">
        <x:v>FR-SHOP-003</x:v>
      </x:c>
      <x:c r="D66" s="14" t="str">
        <x:v>Với vai trò user/household, tôi cần cho phép budget mục tiêu theo tuần/tháng và cảnh báo plan vượt budget.</x:v>
      </x:c>
      <x:c r="E66" s="14" t="str">
        <x:v>FR-SHOP-003</x:v>
      </x:c>
      <x:c r="F66" s="14" t="str">
        <x:v>Must</x:v>
      </x:c>
      <x:c r="G66" s="14" t="str">
        <x:v>P4 Utility</x:v>
      </x:c>
      <x:c r="H66" s="14" t="str">
        <x:v>BN-P0-001,BN-P0-004,BN-P0-007, recipe + meal</x:v>
      </x:c>
      <x:c r="I66" s="14" t="str">
        <x:v>List generation/merge/budget/spend services</x:v>
      </x:c>
      <x:c r="J66" s="14" t="str">
        <x:v>Shopping list/budget/check-off/spend UI</x:v>
      </x:c>
      <x:c r="K66" s="14" t="str">
        <x:v>shopping_list/item/budget/spend schema</x:v>
      </x:c>
      <x:c r="L66" s="14" t="str"/>
      <x:c r="M66" s="14" t="str">
        <x:v>Test functional path + negative/authorization cases for FR-SHOP-003</x:v>
      </x:c>
      <x:c r="N66" s="14" t="str">
        <x:v>Recommendation đề xuất thay món/nguyên liệu.</x:v>
      </x:c>
      <x:c r="O66" s="14" t="str">
        <x:v>5</x:v>
      </x:c>
      <x:c r="P66" s="14" t="str">
        <x:v>Not Started</x:v>
      </x:c>
      <x:c r="Q66" s="14" t="str">
        <x:v>Unassigned</x:v>
      </x:c>
      <x:c r="R66" s="14" t="str"/>
    </x:row>
    <x:row r="67">
      <x:c r="A67" s="14" t="str">
        <x:v>BN-P4-054</x:v>
      </x:c>
      <x:c r="B67" s="14" t="str">
        <x:v>Shopping &amp; Budget</x:v>
      </x:c>
      <x:c r="C67" s="14" t="str">
        <x:v>FR-SHOP-004</x:v>
      </x:c>
      <x:c r="D67" s="14" t="str">
        <x:v>Với vai trò user/household, tôi cần theo dõi actual spend và học mức giá user nhập để ước tính tốt hơn.</x:v>
      </x:c>
      <x:c r="E67" s="14" t="str">
        <x:v>FR-SHOP-004</x:v>
      </x:c>
      <x:c r="F67" s="14" t="str">
        <x:v>Should</x:v>
      </x:c>
      <x:c r="G67" s="14" t="str">
        <x:v>P4 Utility</x:v>
      </x:c>
      <x:c r="H67" s="14" t="str">
        <x:v>BN-P0-001,BN-P0-004,BN-P0-007, recipe + meal</x:v>
      </x:c>
      <x:c r="I67" s="14" t="str">
        <x:v>List generation/merge/budget/spend services</x:v>
      </x:c>
      <x:c r="J67" s="14" t="str">
        <x:v>Shopping list/budget/check-off/spend UI</x:v>
      </x:c>
      <x:c r="K67" s="14" t="str">
        <x:v>shopping_list/item/budget/spend schema</x:v>
      </x:c>
      <x:c r="L67" s="14" t="str"/>
      <x:c r="M67" s="14" t="str">
        <x:v>Test functional path + negative/authorization cases for FR-SHOP-004</x:v>
      </x:c>
      <x:c r="N67" s="14" t="str">
        <x:v>Không giả định giá realtime khi không có nguồn.</x:v>
      </x:c>
      <x:c r="O67" s="14" t="str">
        <x:v>5</x:v>
      </x:c>
      <x:c r="P67" s="14" t="str">
        <x:v>Not Started</x:v>
      </x:c>
      <x:c r="Q67" s="14" t="str">
        <x:v>Unassigned</x:v>
      </x:c>
      <x:c r="R67" s="14" t="str"/>
    </x:row>
    <x:row r="68">
      <x:c r="A68" s="14" t="str">
        <x:v>BN-P4-055</x:v>
      </x:c>
      <x:c r="B68" s="14" t="str">
        <x:v>Shopping &amp; Budget</x:v>
      </x:c>
      <x:c r="C68" s="14" t="str">
        <x:v>FR-SHOP-005</x:v>
      </x:c>
      <x:c r="D68" s="14" t="str">
        <x:v>Với vai trò user/household, tôi cần affiliate/deep link mua nguyên liệu là optional và phải phân biệt rõ nội dung tài trợ.</x:v>
      </x:c>
      <x:c r="E68" s="14" t="str">
        <x:v>FR-SHOP-005</x:v>
      </x:c>
      <x:c r="F68" s="14" t="str">
        <x:v>Could</x:v>
      </x:c>
      <x:c r="G68" s="14" t="str">
        <x:v>P4 Utility</x:v>
      </x:c>
      <x:c r="H68" s="14" t="str">
        <x:v>BN-P0-001,BN-P0-004,BN-P0-007, recipe + meal</x:v>
      </x:c>
      <x:c r="I68" s="14" t="str">
        <x:v>List generation/merge/budget/spend services</x:v>
      </x:c>
      <x:c r="J68" s="14" t="str">
        <x:v>Shopping list/budget/check-off/spend UI</x:v>
      </x:c>
      <x:c r="K68" s="14" t="str">
        <x:v>shopping_list/item/budget/spend schema</x:v>
      </x:c>
      <x:c r="L68" s="14" t="str"/>
      <x:c r="M68" s="14" t="str">
        <x:v>Test functional path + negative/authorization cases for FR-SHOP-005</x:v>
      </x:c>
      <x:c r="N68" s="14" t="str">
        <x:v>Không ảnh hưởng ranking nếu không khai báo.</x:v>
      </x:c>
      <x:c r="O68" s="14" t="str">
        <x:v>3</x:v>
      </x:c>
      <x:c r="P68" s="14" t="str">
        <x:v>Not Started</x:v>
      </x:c>
      <x:c r="Q68" s="14" t="str">
        <x:v>Unassigned</x:v>
      </x:c>
      <x:c r="R68" s="14" t="str"/>
    </x:row>
    <x:row r="69">
      <x:c r="A69" s="14" t="str">
        <x:v>BN-P4-056</x:v>
      </x:c>
      <x:c r="B69" s="14" t="str">
        <x:v>Rescue &amp; Substitution</x:v>
      </x:c>
      <x:c r="C69" s="14" t="str">
        <x:v>FR-RES-001</x:v>
      </x:c>
      <x:c r="D69" s="14" t="str">
        <x:v>Với vai trò cook, tôi cần rescue Mode cho các lỗi: mặn, nhạt, ngọt, chua, cay, loãng, đặc, cháy nhẹ, sống/dai, tanh.</x:v>
      </x:c>
      <x:c r="E69" s="14" t="str">
        <x:v>FR-RES-001</x:v>
      </x:c>
      <x:c r="F69" s="14" t="str">
        <x:v>Must</x:v>
      </x:c>
      <x:c r="G69" s="14" t="str">
        <x:v>P4 Utility</x:v>
      </x:c>
      <x:c r="H69" s="14" t="str">
        <x:v>BN-P0-001,BN-P0-004,BN-P0-007, recipe + cook</x:v>
      </x:c>
      <x:c r="I69" s="14" t="str">
        <x:v>Rescue decision service + substitution graph</x:v>
      </x:c>
      <x:c r="J69" s="14" t="str">
        <x:v>Rescue wizard/substitution result/outcome UI</x:v>
      </x:c>
      <x:c r="K69" s="14" t="str">
        <x:v>rescue_session/substitution_rule/outcome schema</x:v>
      </x:c>
      <x:c r="L69" s="14" t="str">
        <x:v>Rule-based rescue/substitution + bounded AI explanation</x:v>
      </x:c>
      <x:c r="M69" s="14" t="str">
        <x:v>Test functional path + negative/authorization cases for FR-RES-001</x:v>
      </x:c>
      <x:c r="N69" s="14" t="str">
        <x:v>Hỏi context tối thiểu trước khi hướng dẫn.</x:v>
      </x:c>
      <x:c r="O69" s="14" t="str">
        <x:v>5</x:v>
      </x:c>
      <x:c r="P69" s="14" t="str">
        <x:v>Not Started</x:v>
      </x:c>
      <x:c r="Q69" s="14" t="str">
        <x:v>Unassigned</x:v>
      </x:c>
      <x:c r="R69" s="14" t="str"/>
    </x:row>
    <x:row r="70">
      <x:c r="A70" s="14" t="str">
        <x:v>BN-P4-057</x:v>
      </x:c>
      <x:c r="B70" s="14" t="str">
        <x:v>Rescue &amp; Substitution</x:v>
      </x:c>
      <x:c r="C70" s="14" t="str">
        <x:v>FR-RES-002</x:v>
      </x:c>
      <x:c r="D70" s="14" t="str">
        <x:v>Với vai trò cook, tôi cần đưa hướng dẫn cứu món theo lượng thực tế, không chỉ lời khuyên chung.</x:v>
      </x:c>
      <x:c r="E70" s="14" t="str">
        <x:v>FR-RES-002</x:v>
      </x:c>
      <x:c r="F70" s="14" t="str">
        <x:v>Must</x:v>
      </x:c>
      <x:c r="G70" s="14" t="str">
        <x:v>P4 Utility</x:v>
      </x:c>
      <x:c r="H70" s="14" t="str">
        <x:v>BN-P0-001,BN-P0-004,BN-P0-007, recipe + cook</x:v>
      </x:c>
      <x:c r="I70" s="14" t="str">
        <x:v>Rescue decision service + substitution graph</x:v>
      </x:c>
      <x:c r="J70" s="14" t="str">
        <x:v>Rescue wizard/substitution result/outcome UI</x:v>
      </x:c>
      <x:c r="K70" s="14" t="str">
        <x:v>rescue_session/substitution_rule/outcome schema</x:v>
      </x:c>
      <x:c r="L70" s="14" t="str">
        <x:v>Rule-based rescue/substitution + bounded AI explanation</x:v>
      </x:c>
      <x:c r="M70" s="14" t="str">
        <x:v>Test functional path + negative/authorization cases for FR-RES-002</x:v>
      </x:c>
      <x:c r="N70" s="14" t="str">
        <x:v>Có risk warning khi không thể cứu an toàn.</x:v>
      </x:c>
      <x:c r="O70" s="14" t="str">
        <x:v>5</x:v>
      </x:c>
      <x:c r="P70" s="14" t="str">
        <x:v>Not Started</x:v>
      </x:c>
      <x:c r="Q70" s="14" t="str">
        <x:v>Unassigned</x:v>
      </x:c>
      <x:c r="R70" s="14" t="str"/>
    </x:row>
    <x:row r="71">
      <x:c r="A71" s="14" t="str">
        <x:v>BN-P4-058</x:v>
      </x:c>
      <x:c r="B71" s="14" t="str">
        <x:v>Rescue &amp; Substitution</x:v>
      </x:c>
      <x:c r="C71" s="14" t="str">
        <x:v>FR-RES-003</x:v>
      </x:c>
      <x:c r="D71" s="14" t="str">
        <x:v>Với vai trò cook, tôi cần smart substitution đề xuất thay thế theo chức năng ingredient, taste impact, allergy và pantry.</x:v>
      </x:c>
      <x:c r="E71" s="14" t="str">
        <x:v>FR-RES-003</x:v>
      </x:c>
      <x:c r="F71" s="14" t="str">
        <x:v>Must</x:v>
      </x:c>
      <x:c r="G71" s="14" t="str">
        <x:v>P4 Utility</x:v>
      </x:c>
      <x:c r="H71" s="14" t="str">
        <x:v>BN-P0-001,BN-P0-004,BN-P0-007, recipe + cook</x:v>
      </x:c>
      <x:c r="I71" s="14" t="str">
        <x:v>Rescue decision service + substitution graph</x:v>
      </x:c>
      <x:c r="J71" s="14" t="str">
        <x:v>Rescue wizard/substitution result/outcome UI</x:v>
      </x:c>
      <x:c r="K71" s="14" t="str">
        <x:v>rescue_session/substitution_rule/outcome schema</x:v>
      </x:c>
      <x:c r="L71" s="14" t="str">
        <x:v>Rule-based rescue/substitution + bounded AI explanation</x:v>
      </x:c>
      <x:c r="M71" s="14" t="str">
        <x:v>Test functional path + negative/authorization cases for FR-RES-003</x:v>
      </x:c>
      <x:c r="N71" s="14" t="str">
        <x:v>Hiển thị mức độ tương đương.</x:v>
      </x:c>
      <x:c r="O71" s="14" t="str">
        <x:v>5</x:v>
      </x:c>
      <x:c r="P71" s="14" t="str">
        <x:v>Not Started</x:v>
      </x:c>
      <x:c r="Q71" s="14" t="str">
        <x:v>Unassigned</x:v>
      </x:c>
      <x:c r="R71" s="14" t="str"/>
    </x:row>
    <x:row r="72">
      <x:c r="A72" s="14" t="str">
        <x:v>BN-P4-059</x:v>
      </x:c>
      <x:c r="B72" s="14" t="str">
        <x:v>Rescue &amp; Substitution</x:v>
      </x:c>
      <x:c r="C72" s="14" t="str">
        <x:v>FR-RES-004</x:v>
      </x:c>
      <x:c r="D72" s="14" t="str">
        <x:v>Với vai trò cook, tôi cần sau rescue, cho phép user báo kết quả để engine cải thiện recommendation.</x:v>
      </x:c>
      <x:c r="E72" s="14" t="str">
        <x:v>FR-RES-004</x:v>
      </x:c>
      <x:c r="F72" s="14" t="str">
        <x:v>Should</x:v>
      </x:c>
      <x:c r="G72" s="14" t="str">
        <x:v>P4 Utility</x:v>
      </x:c>
      <x:c r="H72" s="14" t="str">
        <x:v>BN-P0-001,BN-P0-004,BN-P0-007, recipe + cook</x:v>
      </x:c>
      <x:c r="I72" s="14" t="str">
        <x:v>Rescue decision service + substitution graph</x:v>
      </x:c>
      <x:c r="J72" s="14" t="str">
        <x:v>Rescue wizard/substitution result/outcome UI</x:v>
      </x:c>
      <x:c r="K72" s="14" t="str">
        <x:v>rescue_session/substitution_rule/outcome schema</x:v>
      </x:c>
      <x:c r="L72" s="14" t="str">
        <x:v>Rule-based rescue/substitution + bounded AI explanation</x:v>
      </x:c>
      <x:c r="M72" s="14" t="str">
        <x:v>Test functional path + negative/authorization cases for FR-RES-004</x:v>
      </x:c>
      <x:c r="N72" s="14" t="str">
        <x:v>Không cập nhật taste preference từ lỗi kỹ thuật một cách trực tiếp.</x:v>
      </x:c>
      <x:c r="O72" s="14" t="str">
        <x:v>5</x:v>
      </x:c>
      <x:c r="P72" s="14" t="str">
        <x:v>Not Started</x:v>
      </x:c>
      <x:c r="Q72" s="14" t="str">
        <x:v>Unassigned</x:v>
      </x:c>
      <x:c r="R72" s="14" t="str"/>
    </x:row>
    <x:row r="73">
      <x:c r="A73" s="14" t="str">
        <x:v>BN-P5-060</x:v>
      </x:c>
      <x:c r="B73" s="14" t="str">
        <x:v>Search &amp; Recommendation</x:v>
      </x:c>
      <x:c r="C73" s="14" t="str">
        <x:v>FR-SRCH-001</x:v>
      </x:c>
      <x:c r="D73" s="14" t="str">
        <x:v>Với vai trò user, tôi cần search theo tên, ingredient, vùng miền, thời gian, budget, equipment, diet, skill, pantry coverage.</x:v>
      </x:c>
      <x:c r="E73" s="14" t="str">
        <x:v>FR-SRCH-001</x:v>
      </x:c>
      <x:c r="F73" s="14" t="str">
        <x:v>Must</x:v>
      </x:c>
      <x:c r="G73" s="14" t="str">
        <x:v>P5 Discovery &amp; Social</x:v>
      </x:c>
      <x:c r="H73" s="14" t="str">
        <x:v>BN-P0-001,BN-P0-004,BN-P0-007, recipe + taste</x:v>
      </x:c>
      <x:c r="I73" s="14" t="str">
        <x:v>Search/recommendation candidate/ranking APIs</x:v>
      </x:c>
      <x:c r="J73" s="14" t="str">
        <x:v>Search/facets/home recommendation/explanation UI</x:v>
      </x:c>
      <x:c r="K73" s="14" t="str">
        <x:v>search index/recommendation event schema</x:v>
      </x:c>
      <x:c r="L73" s="14" t="str">
        <x:v>Candidate/ranking/diversity/TasteFit explanation</x:v>
      </x:c>
      <x:c r="M73" s="14" t="str">
        <x:v>Test functional path + negative/authorization cases for FR-SRCH-001</x:v>
      </x:c>
      <x:c r="N73" s="14" t="str">
        <x:v>Faceted filtering + typo tolerant.</x:v>
      </x:c>
      <x:c r="O73" s="14" t="str">
        <x:v>5</x:v>
      </x:c>
      <x:c r="P73" s="14" t="str">
        <x:v>Not Started</x:v>
      </x:c>
      <x:c r="Q73" s="14" t="str">
        <x:v>Unassigned</x:v>
      </x:c>
      <x:c r="R73" s="14" t="str"/>
    </x:row>
    <x:row r="74">
      <x:c r="A74" s="14" t="str">
        <x:v>BN-P5-061</x:v>
      </x:c>
      <x:c r="B74" s="14" t="str">
        <x:v>Search &amp; Recommendation</x:v>
      </x:c>
      <x:c r="C74" s="14" t="str">
        <x:v>FR-SRCH-002</x:v>
      </x:c>
      <x:c r="D74" s="14" t="str">
        <x:v>Với vai trò user, tôi cần home recommendation kết hợp Taste DNA, household, recent meals, season, pantry, trend và exploration.</x:v>
      </x:c>
      <x:c r="E74" s="14" t="str">
        <x:v>FR-SRCH-002</x:v>
      </x:c>
      <x:c r="F74" s="14" t="str">
        <x:v>Must</x:v>
      </x:c>
      <x:c r="G74" s="14" t="str">
        <x:v>P5 Discovery &amp; Social</x:v>
      </x:c>
      <x:c r="H74" s="14" t="str">
        <x:v>BN-P0-001,BN-P0-004,BN-P0-007, recipe + taste</x:v>
      </x:c>
      <x:c r="I74" s="14" t="str">
        <x:v>Search/recommendation candidate/ranking APIs</x:v>
      </x:c>
      <x:c r="J74" s="14" t="str">
        <x:v>Search/facets/home recommendation/explanation UI</x:v>
      </x:c>
      <x:c r="K74" s="14" t="str">
        <x:v>search index/recommendation event schema</x:v>
      </x:c>
      <x:c r="L74" s="14" t="str">
        <x:v>Candidate/ranking/diversity/TasteFit explanation</x:v>
      </x:c>
      <x:c r="M74" s="14" t="str">
        <x:v>Test functional path + negative/authorization cases for FR-SRCH-002</x:v>
      </x:c>
      <x:c r="N74" s="14" t="str">
        <x:v>Có explanation “vì sao bạn thấy món này”.</x:v>
      </x:c>
      <x:c r="O74" s="14" t="str">
        <x:v>5</x:v>
      </x:c>
      <x:c r="P74" s="14" t="str">
        <x:v>Not Started</x:v>
      </x:c>
      <x:c r="Q74" s="14" t="str">
        <x:v>Unassigned</x:v>
      </x:c>
      <x:c r="R74" s="14" t="str"/>
    </x:row>
    <x:row r="75">
      <x:c r="A75" s="14" t="str">
        <x:v>BN-P5-062</x:v>
      </x:c>
      <x:c r="B75" s="14" t="str">
        <x:v>Search &amp; Recommendation</x:v>
      </x:c>
      <x:c r="C75" s="14" t="str">
        <x:v>FR-SRCH-003</x:v>
      </x:c>
      <x:c r="D75" s="14" t="str">
        <x:v>Với vai trò user, tôi cần không lặp món quá dày và tránh filter bubble bằng exploration có kiểm soát.</x:v>
      </x:c>
      <x:c r="E75" s="14" t="str">
        <x:v>FR-SRCH-003</x:v>
      </x:c>
      <x:c r="F75" s="14" t="str">
        <x:v>Should</x:v>
      </x:c>
      <x:c r="G75" s="14" t="str">
        <x:v>P5 Discovery &amp; Social</x:v>
      </x:c>
      <x:c r="H75" s="14" t="str">
        <x:v>BN-P0-001,BN-P0-004,BN-P0-007, recipe + taste</x:v>
      </x:c>
      <x:c r="I75" s="14" t="str">
        <x:v>Search/recommendation candidate/ranking APIs</x:v>
      </x:c>
      <x:c r="J75" s="14" t="str">
        <x:v>Search/facets/home recommendation/explanation UI</x:v>
      </x:c>
      <x:c r="K75" s="14" t="str">
        <x:v>search index/recommendation event schema</x:v>
      </x:c>
      <x:c r="L75" s="14" t="str">
        <x:v>Candidate/ranking/diversity/TasteFit explanation</x:v>
      </x:c>
      <x:c r="M75" s="14" t="str">
        <x:v>Test functional path + negative/authorization cases for FR-SRCH-003</x:v>
      </x:c>
      <x:c r="N75" s="14" t="str">
        <x:v>Diversity constraints configurable.</x:v>
      </x:c>
      <x:c r="O75" s="14" t="str">
        <x:v>5</x:v>
      </x:c>
      <x:c r="P75" s="14" t="str">
        <x:v>Not Started</x:v>
      </x:c>
      <x:c r="Q75" s="14" t="str">
        <x:v>Unassigned</x:v>
      </x:c>
      <x:c r="R75" s="14" t="str"/>
    </x:row>
    <x:row r="76">
      <x:c r="A76" s="14" t="str">
        <x:v>BN-P5-063</x:v>
      </x:c>
      <x:c r="B76" s="14" t="str">
        <x:v>Search &amp; Recommendation</x:v>
      </x:c>
      <x:c r="C76" s="14" t="str">
        <x:v>FR-SRCH-004</x:v>
      </x:c>
      <x:c r="D76" s="14" t="str">
        <x:v>Với vai trò user, tôi cần recommendation phải xử lý cold-start và anonymous user.</x:v>
      </x:c>
      <x:c r="E76" s="14" t="str">
        <x:v>FR-SRCH-004</x:v>
      </x:c>
      <x:c r="F76" s="14" t="str">
        <x:v>Must</x:v>
      </x:c>
      <x:c r="G76" s="14" t="str">
        <x:v>P5 Discovery &amp; Social</x:v>
      </x:c>
      <x:c r="H76" s="14" t="str">
        <x:v>BN-P0-001,BN-P0-004,BN-P0-007, recipe + taste</x:v>
      </x:c>
      <x:c r="I76" s="14" t="str">
        <x:v>Search/recommendation candidate/ranking APIs</x:v>
      </x:c>
      <x:c r="J76" s="14" t="str">
        <x:v>Search/facets/home recommendation/explanation UI</x:v>
      </x:c>
      <x:c r="K76" s="14" t="str">
        <x:v>search index/recommendation event schema</x:v>
      </x:c>
      <x:c r="L76" s="14" t="str">
        <x:v>Candidate/ranking/diversity/TasteFit explanation</x:v>
      </x:c>
      <x:c r="M76" s="14" t="str">
        <x:v>Test functional path + negative/authorization cases for FR-SRCH-004</x:v>
      </x:c>
      <x:c r="N76" s="14" t="str">
        <x:v>Fallback editorial/popular/seasonal.</x:v>
      </x:c>
      <x:c r="O76" s="14" t="str">
        <x:v>5</x:v>
      </x:c>
      <x:c r="P76" s="14" t="str">
        <x:v>Not Started</x:v>
      </x:c>
      <x:c r="Q76" s="14" t="str">
        <x:v>Unassigned</x:v>
      </x:c>
      <x:c r="R76" s="14" t="str"/>
    </x:row>
    <x:row r="77">
      <x:c r="A77" s="14" t="str">
        <x:v>BN-P5-064</x:v>
      </x:c>
      <x:c r="B77" s="14" t="str">
        <x:v>Search &amp; Recommendation</x:v>
      </x:c>
      <x:c r="C77" s="14" t="str">
        <x:v>FR-SRCH-005</x:v>
      </x:c>
      <x:c r="D77" s="14" t="str">
        <x:v>Với vai trò user, tôi cần user có thể dislike/not interested và hide creator/tag.</x:v>
      </x:c>
      <x:c r="E77" s="14" t="str">
        <x:v>FR-SRCH-005</x:v>
      </x:c>
      <x:c r="F77" s="14" t="str">
        <x:v>Should</x:v>
      </x:c>
      <x:c r="G77" s="14" t="str">
        <x:v>P5 Discovery &amp; Social</x:v>
      </x:c>
      <x:c r="H77" s="14" t="str">
        <x:v>BN-P0-001,BN-P0-004,BN-P0-007, recipe + taste</x:v>
      </x:c>
      <x:c r="I77" s="14" t="str">
        <x:v>Search/recommendation candidate/ranking APIs</x:v>
      </x:c>
      <x:c r="J77" s="14" t="str">
        <x:v>Search/facets/home recommendation/explanation UI</x:v>
      </x:c>
      <x:c r="K77" s="14" t="str">
        <x:v>search index/recommendation event schema</x:v>
      </x:c>
      <x:c r="L77" s="14" t="str">
        <x:v>Candidate/ranking/diversity/TasteFit explanation</x:v>
      </x:c>
      <x:c r="M77" s="14" t="str">
        <x:v>Test functional path + negative/authorization cases for FR-SRCH-005</x:v>
      </x:c>
      <x:c r="N77" s="14" t="str">
        <x:v>Feedback tác động ranking ngay.</x:v>
      </x:c>
      <x:c r="O77" s="14" t="str">
        <x:v>5</x:v>
      </x:c>
      <x:c r="P77" s="14" t="str">
        <x:v>Not Started</x:v>
      </x:c>
      <x:c r="Q77" s="14" t="str">
        <x:v>Unassigned</x:v>
      </x:c>
      <x:c r="R77" s="14" t="str"/>
    </x:row>
    <x:row r="78">
      <x:c r="A78" s="14" t="str">
        <x:v>BN-P5-065</x:v>
      </x:c>
      <x:c r="B78" s="14" t="str">
        <x:v>Social &amp; Taste Match</x:v>
      </x:c>
      <x:c r="C78" s="14" t="str">
        <x:v>FR-SOC-001</x:v>
      </x:c>
      <x:c r="D78" s="14" t="str">
        <x:v>Với vai trò community user, tôi cần feed cho phép post ảnh/video món, recipe reference, cook result, tip, câu hỏi và story ngắn.</x:v>
      </x:c>
      <x:c r="E78" s="14" t="str">
        <x:v>FR-SOC-001</x:v>
      </x:c>
      <x:c r="F78" s="14" t="str">
        <x:v>Should</x:v>
      </x:c>
      <x:c r="G78" s="14" t="str">
        <x:v>P5 Discovery &amp; Social</x:v>
      </x:c>
      <x:c r="H78" s="14" t="str">
        <x:v>BN-P0-001,BN-P0-004,BN-P0-007, account + recipe + moderation foundation</x:v>
      </x:c>
      <x:c r="I78" s="14" t="str">
        <x:v>Feed/social graph/post/comment/reaction/report APIs</x:v>
      </x:c>
      <x:c r="J78" s="14" t="str">
        <x:v>Feed/profile/follow/comment/save/report/taste-match UI</x:v>
      </x:c>
      <x:c r="K78" s="14" t="str">
        <x:v>social_graph/post/comment/reaction/report schema</x:v>
      </x:c>
      <x:c r="L78" s="14" t="str">
        <x:v>Taste Match scoring + feed relevance/moderation assist</x:v>
      </x:c>
      <x:c r="M78" s="14" t="str">
        <x:v>Test functional path + negative/authorization cases for FR-SOC-001</x:v>
      </x:c>
      <x:c r="N78" s="14" t="str">
        <x:v>Privacy public/follower/household/private.</x:v>
      </x:c>
      <x:c r="O78" s="14" t="str">
        <x:v>5</x:v>
      </x:c>
      <x:c r="P78" s="14" t="str">
        <x:v>Not Started</x:v>
      </x:c>
      <x:c r="Q78" s="14" t="str">
        <x:v>Unassigned</x:v>
      </x:c>
      <x:c r="R78" s="14" t="str"/>
    </x:row>
    <x:row r="79">
      <x:c r="A79" s="14" t="str">
        <x:v>BN-P5-066</x:v>
      </x:c>
      <x:c r="B79" s="14" t="str">
        <x:v>Social &amp; Taste Match</x:v>
      </x:c>
      <x:c r="C79" s="14" t="str">
        <x:v>FR-SOC-002</x:v>
      </x:c>
      <x:c r="D79" s="14" t="str">
        <x:v>Với vai trò community user, tôi cần follow user/creator/topic/recipe; like/save/comment/share/report.</x:v>
      </x:c>
      <x:c r="E79" s="14" t="str">
        <x:v>FR-SOC-002</x:v>
      </x:c>
      <x:c r="F79" s="14" t="str">
        <x:v>Should</x:v>
      </x:c>
      <x:c r="G79" s="14" t="str">
        <x:v>P5 Discovery &amp; Social</x:v>
      </x:c>
      <x:c r="H79" s="14" t="str">
        <x:v>BN-P0-001,BN-P0-004,BN-P0-007, account + recipe + moderation foundation</x:v>
      </x:c>
      <x:c r="I79" s="14" t="str">
        <x:v>Feed/social graph/post/comment/reaction/report APIs</x:v>
      </x:c>
      <x:c r="J79" s="14" t="str">
        <x:v>Feed/profile/follow/comment/save/report/taste-match UI</x:v>
      </x:c>
      <x:c r="K79" s="14" t="str">
        <x:v>social_graph/post/comment/reaction/report schema</x:v>
      </x:c>
      <x:c r="L79" s="14" t="str">
        <x:v>Taste Match scoring + feed relevance/moderation assist</x:v>
      </x:c>
      <x:c r="M79" s="14" t="str">
        <x:v>Test functional path + negative/authorization cases for FR-SOC-002</x:v>
      </x:c>
      <x:c r="N79" s="14" t="str">
        <x:v>Anti-spam/rate limit.</x:v>
      </x:c>
      <x:c r="O79" s="14" t="str">
        <x:v>5</x:v>
      </x:c>
      <x:c r="P79" s="14" t="str">
        <x:v>Not Started</x:v>
      </x:c>
      <x:c r="Q79" s="14" t="str">
        <x:v>Unassigned</x:v>
      </x:c>
      <x:c r="R79" s="14" t="str"/>
    </x:row>
    <x:row r="80">
      <x:c r="A80" s="14" t="str">
        <x:v>BN-P5-067</x:v>
      </x:c>
      <x:c r="B80" s="14" t="str">
        <x:v>Social &amp; Taste Match</x:v>
      </x:c>
      <x:c r="C80" s="14" t="str">
        <x:v>FR-SOC-003</x:v>
      </x:c>
      <x:c r="D80" s="14" t="str">
        <x:v>Với vai trò community user, tôi cần taste Match tính độ tương đồng khẩu vị và dùng để xếp hạng review/recipe.</x:v>
      </x:c>
      <x:c r="E80" s="14" t="str">
        <x:v>FR-SOC-003</x:v>
      </x:c>
      <x:c r="F80" s="14" t="str">
        <x:v>Should</x:v>
      </x:c>
      <x:c r="G80" s="14" t="str">
        <x:v>P5 Discovery &amp; Social</x:v>
      </x:c>
      <x:c r="H80" s="14" t="str">
        <x:v>BN-P0-001,BN-P0-004,BN-P0-007, account + recipe + moderation foundation</x:v>
      </x:c>
      <x:c r="I80" s="14" t="str">
        <x:v>Feed/social graph/post/comment/reaction/report APIs</x:v>
      </x:c>
      <x:c r="J80" s="14" t="str">
        <x:v>Feed/profile/follow/comment/save/report/taste-match UI</x:v>
      </x:c>
      <x:c r="K80" s="14" t="str">
        <x:v>social_graph/post/comment/reaction/report schema</x:v>
      </x:c>
      <x:c r="L80" s="14" t="str">
        <x:v>Taste Match scoring + feed relevance/moderation assist</x:v>
      </x:c>
      <x:c r="M80" s="14" t="str">
        <x:v>Test functional path + negative/authorization cases for FR-SOC-003</x:v>
      </x:c>
      <x:c r="N80" s="14" t="str">
        <x:v>Không công khai vector raw nếu user không opt-in.</x:v>
      </x:c>
      <x:c r="O80" s="14" t="str">
        <x:v>5</x:v>
      </x:c>
      <x:c r="P80" s="14" t="str">
        <x:v>Not Started</x:v>
      </x:c>
      <x:c r="Q80" s="14" t="str">
        <x:v>Unassigned</x:v>
      </x:c>
      <x:c r="R80" s="14" t="str"/>
    </x:row>
    <x:row r="81">
      <x:c r="A81" s="14" t="str">
        <x:v>BN-P5-068</x:v>
      </x:c>
      <x:c r="B81" s="14" t="str">
        <x:v>Social &amp; Taste Match</x:v>
      </x:c>
      <x:c r="C81" s="14" t="str">
        <x:v>FR-SOC-004</x:v>
      </x:c>
      <x:c r="D81" s="14" t="str">
        <x:v>Với vai trò community user, tôi cần hiển thị “người có khẩu vị giống bạn” và recipe được họ đánh giá cao.</x:v>
      </x:c>
      <x:c r="E81" s="14" t="str">
        <x:v>FR-SOC-004</x:v>
      </x:c>
      <x:c r="F81" s="14" t="str">
        <x:v>Should</x:v>
      </x:c>
      <x:c r="G81" s="14" t="str">
        <x:v>P5 Discovery &amp; Social</x:v>
      </x:c>
      <x:c r="H81" s="14" t="str">
        <x:v>BN-P0-001,BN-P0-004,BN-P0-007, account + recipe + moderation foundation</x:v>
      </x:c>
      <x:c r="I81" s="14" t="str">
        <x:v>Feed/social graph/post/comment/reaction/report APIs</x:v>
      </x:c>
      <x:c r="J81" s="14" t="str">
        <x:v>Feed/profile/follow/comment/save/report/taste-match UI</x:v>
      </x:c>
      <x:c r="K81" s="14" t="str">
        <x:v>social_graph/post/comment/reaction/report schema</x:v>
      </x:c>
      <x:c r="L81" s="14" t="str">
        <x:v>Taste Match scoring + feed relevance/moderation assist</x:v>
      </x:c>
      <x:c r="M81" s="14" t="str">
        <x:v>Test functional path + negative/authorization cases for FR-SOC-004</x:v>
      </x:c>
      <x:c r="N81" s="14" t="str">
        <x:v>Có block/hide.</x:v>
      </x:c>
      <x:c r="O81" s="14" t="str">
        <x:v>5</x:v>
      </x:c>
      <x:c r="P81" s="14" t="str">
        <x:v>Not Started</x:v>
      </x:c>
      <x:c r="Q81" s="14" t="str">
        <x:v>Unassigned</x:v>
      </x:c>
      <x:c r="R81" s="14" t="str"/>
    </x:row>
    <x:row r="82">
      <x:c r="A82" s="14" t="str">
        <x:v>BN-P5-069</x:v>
      </x:c>
      <x:c r="B82" s="14" t="str">
        <x:v>Social &amp; Taste Match</x:v>
      </x:c>
      <x:c r="C82" s="14" t="str">
        <x:v>FR-SOC-005</x:v>
      </x:c>
      <x:c r="D82" s="14" t="str">
        <x:v>Với vai trò community user, tôi cần recipe Fork/Remix hiển thị cây lineage, attribution và popularity của nhánh.</x:v>
      </x:c>
      <x:c r="E82" s="14" t="str">
        <x:v>FR-SOC-005</x:v>
      </x:c>
      <x:c r="F82" s="14" t="str">
        <x:v>Should</x:v>
      </x:c>
      <x:c r="G82" s="14" t="str">
        <x:v>P5 Discovery &amp; Social</x:v>
      </x:c>
      <x:c r="H82" s="14" t="str">
        <x:v>BN-P0-001,BN-P0-004,BN-P0-007, account + recipe + moderation foundation</x:v>
      </x:c>
      <x:c r="I82" s="14" t="str">
        <x:v>Feed/social graph/post/comment/reaction/report APIs</x:v>
      </x:c>
      <x:c r="J82" s="14" t="str">
        <x:v>Feed/profile/follow/comment/save/report/taste-match UI</x:v>
      </x:c>
      <x:c r="K82" s="14" t="str">
        <x:v>social_graph/post/comment/reaction/report schema</x:v>
      </x:c>
      <x:c r="L82" s="14" t="str">
        <x:v>Taste Match scoring + feed relevance/moderation assist</x:v>
      </x:c>
      <x:c r="M82" s="14" t="str">
        <x:v>Test functional path + negative/authorization cases for FR-SOC-005</x:v>
      </x:c>
      <x:c r="N82" s="14" t="str">
        <x:v>Original creator nhận attribution.</x:v>
      </x:c>
      <x:c r="O82" s="14" t="str">
        <x:v>5</x:v>
      </x:c>
      <x:c r="P82" s="14" t="str">
        <x:v>Not Started</x:v>
      </x:c>
      <x:c r="Q82" s="14" t="str">
        <x:v>Unassigned</x:v>
      </x:c>
      <x:c r="R82" s="14" t="str"/>
    </x:row>
    <x:row r="83">
      <x:c r="A83" s="14" t="str">
        <x:v>BN-P5-070</x:v>
      </x:c>
      <x:c r="B83" s="14" t="str">
        <x:v>Social &amp; Taste Match</x:v>
      </x:c>
      <x:c r="C83" s="14" t="str">
        <x:v>FR-SOC-006</x:v>
      </x:c>
      <x:c r="D83" s="14" t="str">
        <x:v>Với vai trò community user, tôi cần challenge theo tuần/tháng: nấu 3 món rau, món vùng miền, zero-waste...</x:v>
      </x:c>
      <x:c r="E83" s="14" t="str">
        <x:v>FR-SOC-006</x:v>
      </x:c>
      <x:c r="F83" s="14" t="str">
        <x:v>Could</x:v>
      </x:c>
      <x:c r="G83" s="14" t="str">
        <x:v>P5 Discovery &amp; Social</x:v>
      </x:c>
      <x:c r="H83" s="14" t="str">
        <x:v>BN-P0-001,BN-P0-004,BN-P0-007, account + recipe + moderation foundation</x:v>
      </x:c>
      <x:c r="I83" s="14" t="str">
        <x:v>Feed/social graph/post/comment/reaction/report APIs</x:v>
      </x:c>
      <x:c r="J83" s="14" t="str">
        <x:v>Feed/profile/follow/comment/save/report/taste-match UI</x:v>
      </x:c>
      <x:c r="K83" s="14" t="str">
        <x:v>social_graph/post/comment/reaction/report schema</x:v>
      </x:c>
      <x:c r="L83" s="14" t="str">
        <x:v>Taste Match scoring + feed relevance/moderation assist</x:v>
      </x:c>
      <x:c r="M83" s="14" t="str">
        <x:v>Test functional path + negative/authorization cases for FR-SOC-006</x:v>
      </x:c>
      <x:c r="N83" s="14" t="str">
        <x:v>Không dùng dark pattern gây nghiện.</x:v>
      </x:c>
      <x:c r="O83" s="14" t="str">
        <x:v>3</x:v>
      </x:c>
      <x:c r="P83" s="14" t="str">
        <x:v>Not Started</x:v>
      </x:c>
      <x:c r="Q83" s="14" t="str">
        <x:v>Unassigned</x:v>
      </x:c>
      <x:c r="R83" s="14" t="str"/>
    </x:row>
    <x:row r="84">
      <x:c r="A84" s="14" t="str">
        <x:v>BN-P5-071</x:v>
      </x:c>
      <x:c r="B84" s="14" t="str">
        <x:v>Social &amp; Taste Match</x:v>
      </x:c>
      <x:c r="C84" s="14" t="str">
        <x:v>FR-SOC-007</x:v>
      </x:c>
      <x:c r="D84" s="14" t="str">
        <x:v>Với vai trò community user, tôi cần dM/Group chat không bắt buộc ở release đầu nhưng kiến trúc phải không cản trở mở rộng.</x:v>
      </x:c>
      <x:c r="E84" s="14" t="str">
        <x:v>FR-SOC-007</x:v>
      </x:c>
      <x:c r="F84" s="14" t="str">
        <x:v>Could</x:v>
      </x:c>
      <x:c r="G84" s="14" t="str">
        <x:v>P5 Discovery &amp; Social</x:v>
      </x:c>
      <x:c r="H84" s="14" t="str">
        <x:v>BN-P0-001,BN-P0-004,BN-P0-007, account + recipe + moderation foundation</x:v>
      </x:c>
      <x:c r="I84" s="14" t="str">
        <x:v>Feed/social graph/post/comment/reaction/report APIs</x:v>
      </x:c>
      <x:c r="J84" s="14" t="str">
        <x:v>Feed/profile/follow/comment/save/report/taste-match UI</x:v>
      </x:c>
      <x:c r="K84" s="14" t="str">
        <x:v>social_graph/post/comment/reaction/report schema</x:v>
      </x:c>
      <x:c r="L84" s="14" t="str">
        <x:v>Taste Match scoring + feed relevance/moderation assist</x:v>
      </x:c>
      <x:c r="M84" s="14" t="str">
        <x:v>Test functional path + negative/authorization cases for FR-SOC-007</x:v>
      </x:c>
      <x:c r="N84" s="14" t="str">
        <x:v>Nếu triển khai cần abuse controls riêng.</x:v>
      </x:c>
      <x:c r="O84" s="14" t="str">
        <x:v>3</x:v>
      </x:c>
      <x:c r="P84" s="14" t="str">
        <x:v>Not Started</x:v>
      </x:c>
      <x:c r="Q84" s="14" t="str">
        <x:v>Unassigned</x:v>
      </x:c>
      <x:c r="R84" s="14" t="str"/>
    </x:row>
    <x:row r="85">
      <x:c r="A85" s="14" t="str">
        <x:v>BN-P5-072</x:v>
      </x:c>
      <x:c r="B85" s="14" t="str">
        <x:v>Creator Ecosystem</x:v>
      </x:c>
      <x:c r="C85" s="14" t="str">
        <x:v>FR-CRT-001</x:v>
      </x:c>
      <x:c r="D85" s="14" t="str">
        <x:v>Với vai trò creator, tôi cần creator profile có bio, specialty, verified badge, recipe collection, followers và analytics.</x:v>
      </x:c>
      <x:c r="E85" s="14" t="str">
        <x:v>FR-CRT-001</x:v>
      </x:c>
      <x:c r="F85" s="14" t="str">
        <x:v>Should</x:v>
      </x:c>
      <x:c r="G85" s="14" t="str">
        <x:v>P5 Discovery &amp; Social</x:v>
      </x:c>
      <x:c r="H85" s="14" t="str">
        <x:v>BN-P0-001,BN-P0-004,BN-P0-007, account + recipe + moderation foundation</x:v>
      </x:c>
      <x:c r="I85" s="14" t="str">
        <x:v>Creator publishing/profile/analytics APIs</x:v>
      </x:c>
      <x:c r="J85" s="14" t="str">
        <x:v>Creator profile/editor/collection/analytics UI</x:v>
      </x:c>
      <x:c r="K85" s="14" t="str">
        <x:v>creator_profile/collection/analytics aggregate schema</x:v>
      </x:c>
      <x:c r="L85" s="14" t="str"/>
      <x:c r="M85" s="14" t="str">
        <x:v>Test functional path + negative/authorization cases for FR-CRT-001</x:v>
      </x:c>
      <x:c r="N85" s="14" t="str">
        <x:v>Verification workflow qua Admin.</x:v>
      </x:c>
      <x:c r="O85" s="14" t="str">
        <x:v>5</x:v>
      </x:c>
      <x:c r="P85" s="14" t="str">
        <x:v>Not Started</x:v>
      </x:c>
      <x:c r="Q85" s="14" t="str">
        <x:v>Unassigned</x:v>
      </x:c>
      <x:c r="R85" s="14" t="str"/>
    </x:row>
    <x:row r="86">
      <x:c r="A86" s="14" t="str">
        <x:v>BN-P5-073</x:v>
      </x:c>
      <x:c r="B86" s="14" t="str">
        <x:v>Creator Ecosystem</x:v>
      </x:c>
      <x:c r="C86" s="14" t="str">
        <x:v>FR-CRT-002</x:v>
      </x:c>
      <x:c r="D86" s="14" t="str">
        <x:v>Với vai trò creator, tôi cần creator Studio hỗ trợ draft, version, schedule publish, media, ingredient structured editor.</x:v>
      </x:c>
      <x:c r="E86" s="14" t="str">
        <x:v>FR-CRT-002</x:v>
      </x:c>
      <x:c r="F86" s="14" t="str">
        <x:v>Should</x:v>
      </x:c>
      <x:c r="G86" s="14" t="str">
        <x:v>P5 Discovery &amp; Social</x:v>
      </x:c>
      <x:c r="H86" s="14" t="str">
        <x:v>BN-P0-001,BN-P0-004,BN-P0-007, account + recipe + moderation foundation</x:v>
      </x:c>
      <x:c r="I86" s="14" t="str">
        <x:v>Creator publishing/profile/analytics APIs</x:v>
      </x:c>
      <x:c r="J86" s="14" t="str">
        <x:v>Creator profile/editor/collection/analytics UI</x:v>
      </x:c>
      <x:c r="K86" s="14" t="str">
        <x:v>creator_profile/collection/analytics aggregate schema</x:v>
      </x:c>
      <x:c r="L86" s="14" t="str"/>
      <x:c r="M86" s="14" t="str">
        <x:v>Test functional path + negative/authorization cases for FR-CRT-002</x:v>
      </x:c>
      <x:c r="N86" s="14" t="str">
        <x:v>Recipe validation trước publish.</x:v>
      </x:c>
      <x:c r="O86" s="14" t="str">
        <x:v>5</x:v>
      </x:c>
      <x:c r="P86" s="14" t="str">
        <x:v>Not Started</x:v>
      </x:c>
      <x:c r="Q86" s="14" t="str">
        <x:v>Unassigned</x:v>
      </x:c>
      <x:c r="R86" s="14" t="str"/>
    </x:row>
    <x:row r="87">
      <x:c r="A87" s="14" t="str">
        <x:v>BN-P5-074</x:v>
      </x:c>
      <x:c r="B87" s="14" t="str">
        <x:v>Creator Ecosystem</x:v>
      </x:c>
      <x:c r="C87" s="14" t="str">
        <x:v>FR-CRT-003</x:v>
      </x:c>
      <x:c r="D87" s="14" t="str">
        <x:v>Với vai trò creator, tôi cần creator xem analytics aggregate: views, saves, cooks, success feedback, fork count.</x:v>
      </x:c>
      <x:c r="E87" s="14" t="str">
        <x:v>FR-CRT-003</x:v>
      </x:c>
      <x:c r="F87" s="14" t="str">
        <x:v>Should</x:v>
      </x:c>
      <x:c r="G87" s="14" t="str">
        <x:v>P5 Discovery &amp; Social</x:v>
      </x:c>
      <x:c r="H87" s="14" t="str">
        <x:v>BN-P0-001,BN-P0-004,BN-P0-007, account + recipe + moderation foundation</x:v>
      </x:c>
      <x:c r="I87" s="14" t="str">
        <x:v>Creator publishing/profile/analytics APIs</x:v>
      </x:c>
      <x:c r="J87" s="14" t="str">
        <x:v>Creator profile/editor/collection/analytics UI</x:v>
      </x:c>
      <x:c r="K87" s="14" t="str">
        <x:v>creator_profile/collection/analytics aggregate schema</x:v>
      </x:c>
      <x:c r="L87" s="14" t="str"/>
      <x:c r="M87" s="14" t="str">
        <x:v>Test functional path + negative/authorization cases for FR-CRT-003</x:v>
      </x:c>
      <x:c r="N87" s="14" t="str">
        <x:v>Không tiết lộ dữ liệu cá nhân user.</x:v>
      </x:c>
      <x:c r="O87" s="14" t="str">
        <x:v>5</x:v>
      </x:c>
      <x:c r="P87" s="14" t="str">
        <x:v>Not Started</x:v>
      </x:c>
      <x:c r="Q87" s="14" t="str">
        <x:v>Unassigned</x:v>
      </x:c>
      <x:c r="R87" s="14" t="str"/>
    </x:row>
    <x:row r="88">
      <x:c r="A88" s="14" t="str">
        <x:v>BN-P5-075</x:v>
      </x:c>
      <x:c r="B88" s="14" t="str">
        <x:v>Creator Ecosystem</x:v>
      </x:c>
      <x:c r="C88" s="14" t="str">
        <x:v>FR-CRT-004</x:v>
      </x:c>
      <x:c r="D88" s="14" t="str">
        <x:v>Với vai trò creator, tôi cần hỗ trợ revenue share/paid collection trong tương lai qua entitlement.</x:v>
      </x:c>
      <x:c r="E88" s="14" t="str">
        <x:v>FR-CRT-004</x:v>
      </x:c>
      <x:c r="F88" s="14" t="str">
        <x:v>Could</x:v>
      </x:c>
      <x:c r="G88" s="14" t="str">
        <x:v>P5 Discovery &amp; Social</x:v>
      </x:c>
      <x:c r="H88" s="14" t="str">
        <x:v>BN-P0-001,BN-P0-004,BN-P0-007, account + recipe + moderation foundation</x:v>
      </x:c>
      <x:c r="I88" s="14" t="str">
        <x:v>Creator publishing/profile/analytics APIs</x:v>
      </x:c>
      <x:c r="J88" s="14" t="str">
        <x:v>Creator profile/editor/collection/analytics UI</x:v>
      </x:c>
      <x:c r="K88" s="14" t="str">
        <x:v>creator_profile/collection/analytics aggregate schema</x:v>
      </x:c>
      <x:c r="L88" s="14" t="str"/>
      <x:c r="M88" s="14" t="str">
        <x:v>Test functional path + negative/authorization cases for FR-CRT-004</x:v>
      </x:c>
      <x:c r="N88" s="14" t="str">
        <x:v>Tách khỏi core subscription ledger.</x:v>
      </x:c>
      <x:c r="O88" s="14" t="str">
        <x:v>3</x:v>
      </x:c>
      <x:c r="P88" s="14" t="str">
        <x:v>Not Started</x:v>
      </x:c>
      <x:c r="Q88" s="14" t="str">
        <x:v>Unassigned</x:v>
      </x:c>
      <x:c r="R88" s="14" t="str"/>
    </x:row>
    <x:row r="89">
      <x:c r="A89" s="14" t="str">
        <x:v>BN-P5-076</x:v>
      </x:c>
      <x:c r="B89" s="14" t="str">
        <x:v>Gamification &amp; Retention</x:v>
      </x:c>
      <x:c r="C89" s="14" t="str">
        <x:v>FR-GAME-001</x:v>
      </x:c>
      <x:c r="D89" s="14" t="str">
        <x:v>Với vai trò user, tôi cần streak, cooking milestone, badge và collection phải phản ánh giá trị thực, không ép engagement.</x:v>
      </x:c>
      <x:c r="E89" s="14" t="str">
        <x:v>FR-GAME-001</x:v>
      </x:c>
      <x:c r="F89" s="14" t="str">
        <x:v>Could</x:v>
      </x:c>
      <x:c r="G89" s="14" t="str">
        <x:v>P5 Discovery &amp; Social</x:v>
      </x:c>
      <x:c r="H89" s="14" t="str">
        <x:v>BN-P0-001,BN-P0-004,BN-P0-007, account + recipe + moderation foundation</x:v>
      </x:c>
      <x:c r="I89" s="14" t="str">
        <x:v>Challenge/progress/achievement service</x:v>
      </x:c>
      <x:c r="J89" s="14" t="str">
        <x:v>Challenge/progress/badge UI</x:v>
      </x:c>
      <x:c r="K89" s="14" t="str">
        <x:v>challenge/achievement/progress/reward schema</x:v>
      </x:c>
      <x:c r="L89" s="14" t="str"/>
      <x:c r="M89" s="14" t="str">
        <x:v>Test functional path + negative/authorization cases for FR-GAME-001</x:v>
      </x:c>
      <x:c r="N89" s="14" t="str">
        <x:v>Cho phép tắt gamification.</x:v>
      </x:c>
      <x:c r="O89" s="14" t="str">
        <x:v>3</x:v>
      </x:c>
      <x:c r="P89" s="14" t="str">
        <x:v>Not Started</x:v>
      </x:c>
      <x:c r="Q89" s="14" t="str">
        <x:v>Unassigned</x:v>
      </x:c>
      <x:c r="R89" s="14" t="str"/>
    </x:row>
    <x:row r="90">
      <x:c r="A90" s="14" t="str">
        <x:v>BN-P5-077</x:v>
      </x:c>
      <x:c r="B90" s="14" t="str">
        <x:v>Gamification &amp; Retention</x:v>
      </x:c>
      <x:c r="C90" s="14" t="str">
        <x:v>FR-GAME-002</x:v>
      </x:c>
      <x:c r="D90" s="14" t="str">
        <x:v>Với vai trò user, tôi cần weekly recap: món đã nấu, tiết kiệm, ingredient dùng hết, taste learning mới.</x:v>
      </x:c>
      <x:c r="E90" s="14" t="str">
        <x:v>FR-GAME-002</x:v>
      </x:c>
      <x:c r="F90" s="14" t="str">
        <x:v>Should</x:v>
      </x:c>
      <x:c r="G90" s="14" t="str">
        <x:v>P5 Discovery &amp; Social</x:v>
      </x:c>
      <x:c r="H90" s="14" t="str">
        <x:v>BN-P0-001,BN-P0-004,BN-P0-007, account + recipe + moderation foundation</x:v>
      </x:c>
      <x:c r="I90" s="14" t="str">
        <x:v>Challenge/progress/achievement service</x:v>
      </x:c>
      <x:c r="J90" s="14" t="str">
        <x:v>Challenge/progress/badge UI</x:v>
      </x:c>
      <x:c r="K90" s="14" t="str">
        <x:v>challenge/achievement/progress/reward schema</x:v>
      </x:c>
      <x:c r="L90" s="14" t="str"/>
      <x:c r="M90" s="14" t="str">
        <x:v>Test functional path + negative/authorization cases for FR-GAME-002</x:v>
      </x:c>
      <x:c r="N90" s="14" t="str">
        <x:v>Có opt-out.</x:v>
      </x:c>
      <x:c r="O90" s="14" t="str">
        <x:v>5</x:v>
      </x:c>
      <x:c r="P90" s="14" t="str">
        <x:v>Not Started</x:v>
      </x:c>
      <x:c r="Q90" s="14" t="str">
        <x:v>Unassigned</x:v>
      </x:c>
      <x:c r="R90" s="14" t="str"/>
    </x:row>
    <x:row r="91">
      <x:c r="A91" s="14" t="str">
        <x:v>BN-P5-078</x:v>
      </x:c>
      <x:c r="B91" s="14" t="str">
        <x:v>Gamification &amp; Retention</x:v>
      </x:c>
      <x:c r="C91" s="14" t="str">
        <x:v>FR-GAME-003</x:v>
      </x:c>
      <x:c r="D91" s="14" t="str">
        <x:v>Với vai trò user, tôi cần seasonal missions/challenges được CMS cấu hình.</x:v>
      </x:c>
      <x:c r="E91" s="14" t="str">
        <x:v>FR-GAME-003</x:v>
      </x:c>
      <x:c r="F91" s="14" t="str">
        <x:v>Could</x:v>
      </x:c>
      <x:c r="G91" s="14" t="str">
        <x:v>P5 Discovery &amp; Social</x:v>
      </x:c>
      <x:c r="H91" s="14" t="str">
        <x:v>BN-P0-001,BN-P0-004,BN-P0-007, account + recipe + moderation foundation</x:v>
      </x:c>
      <x:c r="I91" s="14" t="str">
        <x:v>Challenge/progress/achievement service</x:v>
      </x:c>
      <x:c r="J91" s="14" t="str">
        <x:v>Challenge/progress/badge UI</x:v>
      </x:c>
      <x:c r="K91" s="14" t="str">
        <x:v>challenge/achievement/progress/reward schema</x:v>
      </x:c>
      <x:c r="L91" s="14" t="str"/>
      <x:c r="M91" s="14" t="str">
        <x:v>Test functional path + negative/authorization cases for FR-GAME-003</x:v>
      </x:c>
      <x:c r="N91" s="14" t="str">
        <x:v>Moderation cho user-generated challenge nếu có.</x:v>
      </x:c>
      <x:c r="O91" s="14" t="str">
        <x:v>3</x:v>
      </x:c>
      <x:c r="P91" s="14" t="str">
        <x:v>Not Started</x:v>
      </x:c>
      <x:c r="Q91" s="14" t="str">
        <x:v>Unassigned</x:v>
      </x:c>
      <x:c r="R91" s="14" t="str"/>
    </x:row>
    <x:row r="92">
      <x:c r="A92" s="14" t="str">
        <x:v>BN-P5-079</x:v>
      </x:c>
      <x:c r="B92" s="14" t="str">
        <x:v>Notifications</x:v>
      </x:c>
      <x:c r="C92" s="14" t="str">
        <x:v>FR-NOTI-001</x:v>
      </x:c>
      <x:c r="D92" s="14" t="str">
        <x:v>Với vai trò user, tôi cần push/in-app/email cho meal reminder, pantry expiry, shared list change, comment/follow, billing và system notice.</x:v>
      </x:c>
      <x:c r="E92" s="14" t="str">
        <x:v>FR-NOTI-001</x:v>
      </x:c>
      <x:c r="F92" s="14" t="str">
        <x:v>Must</x:v>
      </x:c>
      <x:c r="G92" s="14" t="str">
        <x:v>P5 Discovery &amp; Social</x:v>
      </x:c>
      <x:c r="H92" s="14" t="str">
        <x:v>BN-P0-001,BN-P0-004,BN-P0-007</x:v>
      </x:c>
      <x:c r="I92" s="14" t="str">
        <x:v>Preference scheduler + push/email/in-app delivery pipeline</x:v>
      </x:c>
      <x:c r="J92" s="14" t="str">
        <x:v>Notification center/preferences/deep-link UI</x:v>
      </x:c>
      <x:c r="K92" s="14" t="str">
        <x:v>notification/preference/delivery log schema</x:v>
      </x:c>
      <x:c r="L92" s="14" t="str"/>
      <x:c r="M92" s="14" t="str">
        <x:v>Test functional path + negative/authorization cases for FR-NOTI-001</x:v>
      </x:c>
      <x:c r="N92" s="14" t="str">
        <x:v>User chọn channel/topic/quiet hours.</x:v>
      </x:c>
      <x:c r="O92" s="14" t="str">
        <x:v>5</x:v>
      </x:c>
      <x:c r="P92" s="14" t="str">
        <x:v>Not Started</x:v>
      </x:c>
      <x:c r="Q92" s="14" t="str">
        <x:v>Unassigned</x:v>
      </x:c>
      <x:c r="R92" s="14" t="str"/>
    </x:row>
    <x:row r="93">
      <x:c r="A93" s="14" t="str">
        <x:v>BN-P5-080</x:v>
      </x:c>
      <x:c r="B93" s="14" t="str">
        <x:v>Notifications</x:v>
      </x:c>
      <x:c r="C93" s="14" t="str">
        <x:v>FR-NOTI-002</x:v>
      </x:c>
      <x:c r="D93" s="14" t="str">
        <x:v>Với vai trò user, tôi cần notification phải deep-link đúng context và deduplicate.</x:v>
      </x:c>
      <x:c r="E93" s="14" t="str">
        <x:v>FR-NOTI-002</x:v>
      </x:c>
      <x:c r="F93" s="14" t="str">
        <x:v>Must</x:v>
      </x:c>
      <x:c r="G93" s="14" t="str">
        <x:v>P5 Discovery &amp; Social</x:v>
      </x:c>
      <x:c r="H93" s="14" t="str">
        <x:v>BN-P0-001,BN-P0-004,BN-P0-007</x:v>
      </x:c>
      <x:c r="I93" s="14" t="str">
        <x:v>Preference scheduler + push/email/in-app delivery pipeline</x:v>
      </x:c>
      <x:c r="J93" s="14" t="str">
        <x:v>Notification center/preferences/deep-link UI</x:v>
      </x:c>
      <x:c r="K93" s="14" t="str">
        <x:v>notification/preference/delivery log schema</x:v>
      </x:c>
      <x:c r="L93" s="14" t="str"/>
      <x:c r="M93" s="14" t="str">
        <x:v>Test functional path + negative/authorization cases for FR-NOTI-002</x:v>
      </x:c>
      <x:c r="N93" s="14" t="str">
        <x:v>Có inbox trạng thái read/unread.</x:v>
      </x:c>
      <x:c r="O93" s="14" t="str">
        <x:v>5</x:v>
      </x:c>
      <x:c r="P93" s="14" t="str">
        <x:v>Not Started</x:v>
      </x:c>
      <x:c r="Q93" s="14" t="str">
        <x:v>Unassigned</x:v>
      </x:c>
      <x:c r="R93" s="14" t="str"/>
    </x:row>
    <x:row r="94">
      <x:c r="A94" s="14" t="str">
        <x:v>BN-P5-081</x:v>
      </x:c>
      <x:c r="B94" s="14" t="str">
        <x:v>Notifications</x:v>
      </x:c>
      <x:c r="C94" s="14" t="str">
        <x:v>FR-NOTI-003</x:v>
      </x:c>
      <x:c r="D94" s="14" t="str">
        <x:v>Với vai trò user, tôi cần digest thay cho spam khi nhiều social event.</x:v>
      </x:c>
      <x:c r="E94" s="14" t="str">
        <x:v>FR-NOTI-003</x:v>
      </x:c>
      <x:c r="F94" s="14" t="str">
        <x:v>Should</x:v>
      </x:c>
      <x:c r="G94" s="14" t="str">
        <x:v>P5 Discovery &amp; Social</x:v>
      </x:c>
      <x:c r="H94" s="14" t="str">
        <x:v>BN-P0-001,BN-P0-004,BN-P0-007</x:v>
      </x:c>
      <x:c r="I94" s="14" t="str">
        <x:v>Preference scheduler + push/email/in-app delivery pipeline</x:v>
      </x:c>
      <x:c r="J94" s="14" t="str">
        <x:v>Notification center/preferences/deep-link UI</x:v>
      </x:c>
      <x:c r="K94" s="14" t="str">
        <x:v>notification/preference/delivery log schema</x:v>
      </x:c>
      <x:c r="L94" s="14" t="str"/>
      <x:c r="M94" s="14" t="str">
        <x:v>Test functional path + negative/authorization cases for FR-NOTI-003</x:v>
      </x:c>
      <x:c r="N94" s="14" t="str">
        <x:v>Frequency user-configurable.</x:v>
      </x:c>
      <x:c r="O94" s="14" t="str">
        <x:v>5</x:v>
      </x:c>
      <x:c r="P94" s="14" t="str">
        <x:v>Not Started</x:v>
      </x:c>
      <x:c r="Q94" s="14" t="str">
        <x:v>Unassigned</x:v>
      </x:c>
      <x:c r="R94" s="14" t="str"/>
    </x:row>
    <x:row r="95">
      <x:c r="A95" s="14" t="str">
        <x:v>BN-P6-082</x:v>
      </x:c>
      <x:c r="B95" s="14" t="str">
        <x:v>Subscription &amp; Monetization</x:v>
      </x:c>
      <x:c r="C95" s="14" t="str">
        <x:v>FR-PAY-001</x:v>
      </x:c>
      <x:c r="D95" s="14" t="str">
        <x:v>Với vai trò subscriber, tôi cần free/Premium entitlement theo feature/quota; server-side enforcement.</x:v>
      </x:c>
      <x:c r="E95" s="14" t="str">
        <x:v>FR-PAY-001</x:v>
      </x:c>
      <x:c r="F95" s="14" t="str">
        <x:v>Must</x:v>
      </x:c>
      <x:c r="G95" s="14" t="str">
        <x:v>P6 Business &amp; Growth</x:v>
      </x:c>
      <x:c r="H95" s="14" t="str">
        <x:v>BN-P0-001,BN-P0-004,BN-P0-007, account + entitlement</x:v>
      </x:c>
      <x:c r="I95" s="14" t="str">
        <x:v>Billing adapters, entitlement, webhook reconciliation</x:v>
      </x:c>
      <x:c r="J95" s="14" t="str">
        <x:v>Paywall/plans/receipt/manage-subscription UI</x:v>
      </x:c>
      <x:c r="K95" s="14" t="str">
        <x:v>subscription/entitlement/transaction/webhook schema</x:v>
      </x:c>
      <x:c r="L95" s="14" t="str"/>
      <x:c r="M95" s="14" t="str">
        <x:v>Test functional path + negative/authorization cases for FR-PAY-001</x:v>
      </x:c>
      <x:c r="N95" s="14" t="str">
        <x:v>Không dựa UI-only gate.</x:v>
      </x:c>
      <x:c r="O95" s="14" t="str">
        <x:v>8</x:v>
      </x:c>
      <x:c r="P95" s="14" t="str">
        <x:v>Not Started</x:v>
      </x:c>
      <x:c r="Q95" s="14" t="str">
        <x:v>Unassigned</x:v>
      </x:c>
      <x:c r="R95" s="14" t="str"/>
    </x:row>
    <x:row r="96">
      <x:c r="A96" s="14" t="str">
        <x:v>BN-P6-083</x:v>
      </x:c>
      <x:c r="B96" s="14" t="str">
        <x:v>Subscription &amp; Monetization</x:v>
      </x:c>
      <x:c r="C96" s="14" t="str">
        <x:v>FR-PAY-002</x:v>
      </x:c>
      <x:c r="D96" s="14" t="str">
        <x:v>Với vai trò subscriber, tôi cần hỗ trợ App Store/Google Play billing và web payment; xử lý renew/cancel/grace/refund.</x:v>
      </x:c>
      <x:c r="E96" s="14" t="str">
        <x:v>FR-PAY-002</x:v>
      </x:c>
      <x:c r="F96" s="14" t="str">
        <x:v>Must</x:v>
      </x:c>
      <x:c r="G96" s="14" t="str">
        <x:v>P6 Business &amp; Growth</x:v>
      </x:c>
      <x:c r="H96" s="14" t="str">
        <x:v>BN-P0-001,BN-P0-004,BN-P0-007, account + entitlement</x:v>
      </x:c>
      <x:c r="I96" s="14" t="str">
        <x:v>Billing adapters, entitlement, webhook reconciliation</x:v>
      </x:c>
      <x:c r="J96" s="14" t="str">
        <x:v>Paywall/plans/receipt/manage-subscription UI</x:v>
      </x:c>
      <x:c r="K96" s="14" t="str">
        <x:v>subscription/entitlement/transaction/webhook schema</x:v>
      </x:c>
      <x:c r="L96" s="14" t="str"/>
      <x:c r="M96" s="14" t="str">
        <x:v>Test functional path + negative/authorization cases for FR-PAY-002</x:v>
      </x:c>
      <x:c r="N96" s="14" t="str">
        <x:v>Ledger idempotent.</x:v>
      </x:c>
      <x:c r="O96" s="14" t="str">
        <x:v>8</x:v>
      </x:c>
      <x:c r="P96" s="14" t="str">
        <x:v>Not Started</x:v>
      </x:c>
      <x:c r="Q96" s="14" t="str">
        <x:v>Unassigned</x:v>
      </x:c>
      <x:c r="R96" s="14" t="str"/>
    </x:row>
    <x:row r="97">
      <x:c r="A97" s="14" t="str">
        <x:v>BN-P6-084</x:v>
      </x:c>
      <x:c r="B97" s="14" t="str">
        <x:v>Subscription &amp; Monetization</x:v>
      </x:c>
      <x:c r="C97" s="14" t="str">
        <x:v>FR-PAY-003</x:v>
      </x:c>
      <x:c r="D97" s="14" t="str">
        <x:v>Với vai trò subscriber, tôi cần family plan, promo code, trial, gift và grandfathering policy.</x:v>
      </x:c>
      <x:c r="E97" s="14" t="str">
        <x:v>FR-PAY-003</x:v>
      </x:c>
      <x:c r="F97" s="14" t="str">
        <x:v>Should</x:v>
      </x:c>
      <x:c r="G97" s="14" t="str">
        <x:v>P6 Business &amp; Growth</x:v>
      </x:c>
      <x:c r="H97" s="14" t="str">
        <x:v>BN-P0-001,BN-P0-004,BN-P0-007, account + entitlement</x:v>
      </x:c>
      <x:c r="I97" s="14" t="str">
        <x:v>Billing adapters, entitlement, webhook reconciliation</x:v>
      </x:c>
      <x:c r="J97" s="14" t="str">
        <x:v>Paywall/plans/receipt/manage-subscription UI</x:v>
      </x:c>
      <x:c r="K97" s="14" t="str">
        <x:v>subscription/entitlement/transaction/webhook schema</x:v>
      </x:c>
      <x:c r="L97" s="14" t="str"/>
      <x:c r="M97" s="14" t="str">
        <x:v>Test functional path + negative/authorization cases for FR-PAY-003</x:v>
      </x:c>
      <x:c r="N97" s="14" t="str">
        <x:v>Không mất entitlement khi provider webhook trễ.</x:v>
      </x:c>
      <x:c r="O97" s="14" t="str">
        <x:v>5</x:v>
      </x:c>
      <x:c r="P97" s="14" t="str">
        <x:v>Not Started</x:v>
      </x:c>
      <x:c r="Q97" s="14" t="str">
        <x:v>Unassigned</x:v>
      </x:c>
      <x:c r="R97" s="14" t="str"/>
    </x:row>
    <x:row r="98">
      <x:c r="A98" s="14" t="str">
        <x:v>BN-P6-085</x:v>
      </x:c>
      <x:c r="B98" s="14" t="str">
        <x:v>Subscription &amp; Monetization</x:v>
      </x:c>
      <x:c r="C98" s="14" t="str">
        <x:v>FR-PAY-004</x:v>
      </x:c>
      <x:c r="D98" s="14" t="str">
        <x:v>Với vai trò subscriber, tôi cần ads/affiliate nếu dùng phải được tách rõ, không gây ảnh hưởng safety/recommendation không khai báo.</x:v>
      </x:c>
      <x:c r="E98" s="14" t="str">
        <x:v>FR-PAY-004</x:v>
      </x:c>
      <x:c r="F98" s="14" t="str">
        <x:v>Could</x:v>
      </x:c>
      <x:c r="G98" s="14" t="str">
        <x:v>P6 Business &amp; Growth</x:v>
      </x:c>
      <x:c r="H98" s="14" t="str">
        <x:v>BN-P0-001,BN-P0-004,BN-P0-007, account + entitlement</x:v>
      </x:c>
      <x:c r="I98" s="14" t="str">
        <x:v>Billing adapters, entitlement, webhook reconciliation</x:v>
      </x:c>
      <x:c r="J98" s="14" t="str">
        <x:v>Paywall/plans/receipt/manage-subscription UI</x:v>
      </x:c>
      <x:c r="K98" s="14" t="str">
        <x:v>subscription/entitlement/transaction/webhook schema</x:v>
      </x:c>
      <x:c r="L98" s="14" t="str"/>
      <x:c r="M98" s="14" t="str">
        <x:v>Test functional path + negative/authorization cases for FR-PAY-004</x:v>
      </x:c>
      <x:c r="N98" s="14" t="str">
        <x:v>Premium có thể ad-free.</x:v>
      </x:c>
      <x:c r="O98" s="14" t="str">
        <x:v>3</x:v>
      </x:c>
      <x:c r="P98" s="14" t="str">
        <x:v>Not Started</x:v>
      </x:c>
      <x:c r="Q98" s="14" t="str">
        <x:v>Unassigned</x:v>
      </x:c>
      <x:c r="R98" s="14" t="str"/>
    </x:row>
    <x:row r="99">
      <x:c r="A99" s="14" t="str">
        <x:v>BN-P6-086</x:v>
      </x:c>
      <x:c r="B99" s="14" t="str">
        <x:v>Subscription &amp; Monetization</x:v>
      </x:c>
      <x:c r="C99" s="14" t="str">
        <x:v>FR-PAY-005</x:v>
      </x:c>
      <x:c r="D99" s="14" t="str">
        <x:v>Với vai trò subscriber, tôi cần paywall experiment qua feature flag/experiment nhưng tuân thủ consent và pricing transparency.</x:v>
      </x:c>
      <x:c r="E99" s="14" t="str">
        <x:v>FR-PAY-005</x:v>
      </x:c>
      <x:c r="F99" s="14" t="str">
        <x:v>Should</x:v>
      </x:c>
      <x:c r="G99" s="14" t="str">
        <x:v>P6 Business &amp; Growth</x:v>
      </x:c>
      <x:c r="H99" s="14" t="str">
        <x:v>BN-P0-001,BN-P0-004,BN-P0-007, account + entitlement</x:v>
      </x:c>
      <x:c r="I99" s="14" t="str">
        <x:v>Billing adapters, entitlement, webhook reconciliation</x:v>
      </x:c>
      <x:c r="J99" s="14" t="str">
        <x:v>Paywall/plans/receipt/manage-subscription UI</x:v>
      </x:c>
      <x:c r="K99" s="14" t="str">
        <x:v>subscription/entitlement/transaction/webhook schema</x:v>
      </x:c>
      <x:c r="L99" s="14" t="str"/>
      <x:c r="M99" s="14" t="str">
        <x:v>Test functional path + negative/authorization cases for FR-PAY-005</x:v>
      </x:c>
      <x:c r="N99" s="14" t="str">
        <x:v>Audit experiment assignment.</x:v>
      </x:c>
      <x:c r="O99" s="14" t="str">
        <x:v>5</x:v>
      </x:c>
      <x:c r="P99" s="14" t="str">
        <x:v>Not Started</x:v>
      </x:c>
      <x:c r="Q99" s="14" t="str">
        <x:v>Unassigned</x:v>
      </x:c>
      <x:c r="R99" s="14" t="str"/>
    </x:row>
    <x:row r="100">
      <x:c r="A100" s="14" t="str">
        <x:v>BN-P6-087</x:v>
      </x:c>
      <x:c r="B100" s="14" t="str">
        <x:v>Admin &amp; CMS</x:v>
      </x:c>
      <x:c r="C100" s="14" t="str">
        <x:v>FR-ADM-001</x:v>
      </x:c>
      <x:c r="D100" s="14" t="str">
        <x:v>Với vai trò admin, tôi cần admin RBAC cho content, moderation, support, billing, analytics, feature flag.</x:v>
      </x:c>
      <x:c r="E100" s="14" t="str">
        <x:v>FR-ADM-001</x:v>
      </x:c>
      <x:c r="F100" s="14" t="str">
        <x:v>Must</x:v>
      </x:c>
      <x:c r="G100" s="14" t="str">
        <x:v>P6 Business &amp; Growth</x:v>
      </x:c>
      <x:c r="H100" s="14" t="str">
        <x:v>BN-P0-001,BN-P0-004,BN-P0-007, admin auth</x:v>
      </x:c>
      <x:c r="I100" s="14" t="str">
        <x:v>RBAC, CMS, feature flag, admin audit services</x:v>
      </x:c>
      <x:c r="J100" s="14" t="str">
        <x:v>Admin/CMS/moderation/feature-flag dashboards</x:v>
      </x:c>
      <x:c r="K100" s="14" t="str">
        <x:v>admin role/audit/CMS workflow schema</x:v>
      </x:c>
      <x:c r="L100" s="14" t="str"/>
      <x:c r="M100" s="14" t="str">
        <x:v>Test functional path + negative/authorization cases for FR-ADM-001</x:v>
      </x:c>
      <x:c r="N100" s="14" t="str">
        <x:v>Least privilege + audit log.</x:v>
      </x:c>
      <x:c r="O100" s="14" t="str">
        <x:v>5</x:v>
      </x:c>
      <x:c r="P100" s="14" t="str">
        <x:v>Not Started</x:v>
      </x:c>
      <x:c r="Q100" s="14" t="str">
        <x:v>Unassigned</x:v>
      </x:c>
      <x:c r="R100" s="14" t="str"/>
    </x:row>
    <x:row r="101">
      <x:c r="A101" s="14" t="str">
        <x:v>BN-P6-088</x:v>
      </x:c>
      <x:c r="B101" s="14" t="str">
        <x:v>Admin &amp; CMS</x:v>
      </x:c>
      <x:c r="C101" s="14" t="str">
        <x:v>FR-ADM-002</x:v>
      </x:c>
      <x:c r="D101" s="14" t="str">
        <x:v>Với vai trò admin, tôi cần cMS quản lý recipe, ingredient canonical, taxonomy, regional variants, seasonal collections.</x:v>
      </x:c>
      <x:c r="E101" s="14" t="str">
        <x:v>FR-ADM-002</x:v>
      </x:c>
      <x:c r="F101" s="14" t="str">
        <x:v>Must</x:v>
      </x:c>
      <x:c r="G101" s="14" t="str">
        <x:v>P6 Business &amp; Growth</x:v>
      </x:c>
      <x:c r="H101" s="14" t="str">
        <x:v>BN-P0-001,BN-P0-004,BN-P0-007, admin auth</x:v>
      </x:c>
      <x:c r="I101" s="14" t="str">
        <x:v>RBAC, CMS, feature flag, admin audit services</x:v>
      </x:c>
      <x:c r="J101" s="14" t="str">
        <x:v>Admin/CMS/moderation/feature-flag dashboards</x:v>
      </x:c>
      <x:c r="K101" s="14" t="str">
        <x:v>admin role/audit/CMS workflow schema</x:v>
      </x:c>
      <x:c r="L101" s="14" t="str"/>
      <x:c r="M101" s="14" t="str">
        <x:v>Test functional path + negative/authorization cases for FR-ADM-002</x:v>
      </x:c>
      <x:c r="N101" s="14" t="str">
        <x:v>Draft/review/approve/publish workflow.</x:v>
      </x:c>
      <x:c r="O101" s="14" t="str">
        <x:v>5</x:v>
      </x:c>
      <x:c r="P101" s="14" t="str">
        <x:v>Not Started</x:v>
      </x:c>
      <x:c r="Q101" s="14" t="str">
        <x:v>Unassigned</x:v>
      </x:c>
      <x:c r="R101" s="14" t="str"/>
    </x:row>
    <x:row r="102">
      <x:c r="A102" s="14" t="str">
        <x:v>BN-P6-089</x:v>
      </x:c>
      <x:c r="B102" s="14" t="str">
        <x:v>Admin &amp; CMS</x:v>
      </x:c>
      <x:c r="C102" s="14" t="str">
        <x:v>FR-ADM-003</x:v>
      </x:c>
      <x:c r="D102" s="14" t="str">
        <x:v>Với vai trò admin, tôi cần dashboard theo dõi user, retention, content quality, error, moderation queue và revenue aggregate.</x:v>
      </x:c>
      <x:c r="E102" s="14" t="str">
        <x:v>FR-ADM-003</x:v>
      </x:c>
      <x:c r="F102" s="14" t="str">
        <x:v>Must</x:v>
      </x:c>
      <x:c r="G102" s="14" t="str">
        <x:v>P6 Business &amp; Growth</x:v>
      </x:c>
      <x:c r="H102" s="14" t="str">
        <x:v>BN-P0-001,BN-P0-004,BN-P0-007, admin auth</x:v>
      </x:c>
      <x:c r="I102" s="14" t="str">
        <x:v>RBAC, CMS, feature flag, admin audit services</x:v>
      </x:c>
      <x:c r="J102" s="14" t="str">
        <x:v>Admin/CMS/moderation/feature-flag dashboards</x:v>
      </x:c>
      <x:c r="K102" s="14" t="str">
        <x:v>admin role/audit/CMS workflow schema</x:v>
      </x:c>
      <x:c r="L102" s="14" t="str"/>
      <x:c r="M102" s="14" t="str">
        <x:v>Test functional path + negative/authorization cases for FR-ADM-003</x:v>
      </x:c>
      <x:c r="N102" s="14" t="str">
        <x:v>Không expose secret/PII không cần thiết.</x:v>
      </x:c>
      <x:c r="O102" s="14" t="str">
        <x:v>5</x:v>
      </x:c>
      <x:c r="P102" s="14" t="str">
        <x:v>Not Started</x:v>
      </x:c>
      <x:c r="Q102" s="14" t="str">
        <x:v>Unassigned</x:v>
      </x:c>
      <x:c r="R102" s="14" t="str"/>
    </x:row>
    <x:row r="103">
      <x:c r="A103" s="14" t="str">
        <x:v>BN-P6-090</x:v>
      </x:c>
      <x:c r="B103" s="14" t="str">
        <x:v>Admin &amp; CMS</x:v>
      </x:c>
      <x:c r="C103" s="14" t="str">
        <x:v>FR-ADM-004</x:v>
      </x:c>
      <x:c r="D103" s="14" t="str">
        <x:v>Với vai trò admin, tôi cần feature flag và remote config theo cohort/platform/version.</x:v>
      </x:c>
      <x:c r="E103" s="14" t="str">
        <x:v>FR-ADM-004</x:v>
      </x:c>
      <x:c r="F103" s="14" t="str">
        <x:v>Must</x:v>
      </x:c>
      <x:c r="G103" s="14" t="str">
        <x:v>P6 Business &amp; Growth</x:v>
      </x:c>
      <x:c r="H103" s="14" t="str">
        <x:v>BN-P0-001,BN-P0-004,BN-P0-007, admin auth</x:v>
      </x:c>
      <x:c r="I103" s="14" t="str">
        <x:v>RBAC, CMS, feature flag, admin audit services</x:v>
      </x:c>
      <x:c r="J103" s="14" t="str">
        <x:v>Admin/CMS/moderation/feature-flag dashboards</x:v>
      </x:c>
      <x:c r="K103" s="14" t="str">
        <x:v>admin role/audit/CMS workflow schema</x:v>
      </x:c>
      <x:c r="L103" s="14" t="str"/>
      <x:c r="M103" s="14" t="str">
        <x:v>Test functional path + negative/authorization cases for FR-ADM-004</x:v>
      </x:c>
      <x:c r="N103" s="14" t="str">
        <x:v>Kill switch cho AI/social/billing feature.</x:v>
      </x:c>
      <x:c r="O103" s="14" t="str">
        <x:v>5</x:v>
      </x:c>
      <x:c r="P103" s="14" t="str">
        <x:v>Not Started</x:v>
      </x:c>
      <x:c r="Q103" s="14" t="str">
        <x:v>Unassigned</x:v>
      </x:c>
      <x:c r="R103" s="14" t="str"/>
    </x:row>
    <x:row r="104">
      <x:c r="A104" s="14" t="str">
        <x:v>BN-P6-091</x:v>
      </x:c>
      <x:c r="B104" s="14" t="str">
        <x:v>Admin &amp; CMS</x:v>
      </x:c>
      <x:c r="C104" s="14" t="str">
        <x:v>FR-ADM-005</x:v>
      </x:c>
      <x:c r="D104" s="14" t="str">
        <x:v>Với vai trò admin, tôi cần support console tra cứu user theo masked identifier, entitlement, sync issue, report history.</x:v>
      </x:c>
      <x:c r="E104" s="14" t="str">
        <x:v>FR-ADM-005</x:v>
      </x:c>
      <x:c r="F104" s="14" t="str">
        <x:v>Should</x:v>
      </x:c>
      <x:c r="G104" s="14" t="str">
        <x:v>P6 Business &amp; Growth</x:v>
      </x:c>
      <x:c r="H104" s="14" t="str">
        <x:v>BN-P0-001,BN-P0-004,BN-P0-007, admin auth</x:v>
      </x:c>
      <x:c r="I104" s="14" t="str">
        <x:v>RBAC, CMS, feature flag, admin audit services</x:v>
      </x:c>
      <x:c r="J104" s="14" t="str">
        <x:v>Admin/CMS/moderation/feature-flag dashboards</x:v>
      </x:c>
      <x:c r="K104" s="14" t="str">
        <x:v>admin role/audit/CMS workflow schema</x:v>
      </x:c>
      <x:c r="L104" s="14" t="str"/>
      <x:c r="M104" s="14" t="str">
        <x:v>Test functional path + negative/authorization cases for FR-ADM-005</x:v>
      </x:c>
      <x:c r="N104" s="14" t="str">
        <x:v>Sensitive action cần reason/audit.</x:v>
      </x:c>
      <x:c r="O104" s="14" t="str">
        <x:v>5</x:v>
      </x:c>
      <x:c r="P104" s="14" t="str">
        <x:v>Not Started</x:v>
      </x:c>
      <x:c r="Q104" s="14" t="str">
        <x:v>Unassigned</x:v>
      </x:c>
      <x:c r="R104" s="14" t="str"/>
    </x:row>
    <x:row r="105">
      <x:c r="A105" s="14" t="str">
        <x:v>BN-P6-092</x:v>
      </x:c>
      <x:c r="B105" s="14" t="str">
        <x:v>Trust, Safety &amp; Moderation</x:v>
      </x:c>
      <x:c r="C105" s="14" t="str">
        <x:v>FR-MOD-001</x:v>
      </x:c>
      <x:c r="D105" s="14" t="str">
        <x:v>Với vai trò moderator/user, tôi cần user report post/comment/profile/recipe; category spam, abuse, unsafe food advice, copyright, impersonation.</x:v>
      </x:c>
      <x:c r="E105" s="14" t="str">
        <x:v>FR-MOD-001</x:v>
      </x:c>
      <x:c r="F105" s="14" t="str">
        <x:v>Must</x:v>
      </x:c>
      <x:c r="G105" s="14" t="str">
        <x:v>P6 Business &amp; Growth</x:v>
      </x:c>
      <x:c r="H105" s="14" t="str">
        <x:v>BN-P0-001,BN-P0-004,BN-P0-007, admin auth</x:v>
      </x:c>
      <x:c r="I105" s="14" t="str">
        <x:v>Screening queue, review, action, appeal services</x:v>
      </x:c>
      <x:c r="J105" s="14" t="str">
        <x:v>Report/block/mute/appeal/moderation console UI</x:v>
      </x:c>
      <x:c r="K105" s="14" t="str">
        <x:v>moderation case/evidence/decision/appeal schema</x:v>
      </x:c>
      <x:c r="L105" s="14" t="str"/>
      <x:c r="M105" s="14" t="str">
        <x:v>Test functional path + negative/authorization cases for FR-MOD-001</x:v>
      </x:c>
      <x:c r="N105" s="14" t="str">
        <x:v>SLA và queue priority.</x:v>
      </x:c>
      <x:c r="O105" s="14" t="str">
        <x:v>8</x:v>
      </x:c>
      <x:c r="P105" s="14" t="str">
        <x:v>Not Started</x:v>
      </x:c>
      <x:c r="Q105" s="14" t="str">
        <x:v>Unassigned</x:v>
      </x:c>
      <x:c r="R105" s="14" t="str"/>
    </x:row>
    <x:row r="106">
      <x:c r="A106" s="14" t="str">
        <x:v>BN-P6-093</x:v>
      </x:c>
      <x:c r="B106" s="14" t="str">
        <x:v>Trust, Safety &amp; Moderation</x:v>
      </x:c>
      <x:c r="C106" s="14" t="str">
        <x:v>FR-MOD-002</x:v>
      </x:c>
      <x:c r="D106" s="14" t="str">
        <x:v>Với vai trò moderator/user, tôi cần kết hợp automated screening + human review + appeal.</x:v>
      </x:c>
      <x:c r="E106" s="14" t="str">
        <x:v>FR-MOD-002</x:v>
      </x:c>
      <x:c r="F106" s="14" t="str">
        <x:v>Must</x:v>
      </x:c>
      <x:c r="G106" s="14" t="str">
        <x:v>P6 Business &amp; Growth</x:v>
      </x:c>
      <x:c r="H106" s="14" t="str">
        <x:v>BN-P0-001,BN-P0-004,BN-P0-007, admin auth</x:v>
      </x:c>
      <x:c r="I106" s="14" t="str">
        <x:v>Screening queue, review, action, appeal services</x:v>
      </x:c>
      <x:c r="J106" s="14" t="str">
        <x:v>Report/block/mute/appeal/moderation console UI</x:v>
      </x:c>
      <x:c r="K106" s="14" t="str">
        <x:v>moderation case/evidence/decision/appeal schema</x:v>
      </x:c>
      <x:c r="L106" s="14" t="str"/>
      <x:c r="M106" s="14" t="str">
        <x:v>Test functional path + negative/authorization cases for FR-MOD-002</x:v>
      </x:c>
      <x:c r="N106" s="14" t="str">
        <x:v>Không auto-ban chỉ từ low-confidence AI.</x:v>
      </x:c>
      <x:c r="O106" s="14" t="str">
        <x:v>8</x:v>
      </x:c>
      <x:c r="P106" s="14" t="str">
        <x:v>Not Started</x:v>
      </x:c>
      <x:c r="Q106" s="14" t="str">
        <x:v>Unassigned</x:v>
      </x:c>
      <x:c r="R106" s="14" t="str"/>
    </x:row>
    <x:row r="107">
      <x:c r="A107" s="14" t="str">
        <x:v>BN-P6-094</x:v>
      </x:c>
      <x:c r="B107" s="14" t="str">
        <x:v>Trust, Safety &amp; Moderation</x:v>
      </x:c>
      <x:c r="C107" s="14" t="str">
        <x:v>FR-MOD-003</x:v>
      </x:c>
      <x:c r="D107" s="14" t="str">
        <x:v>Với vai trò moderator/user, tôi cần food safety warning cho nguyên liệu sống, bảo quản, reheating và dị ứng.</x:v>
      </x:c>
      <x:c r="E107" s="14" t="str">
        <x:v>FR-MOD-003</x:v>
      </x:c>
      <x:c r="F107" s="14" t="str">
        <x:v>Must</x:v>
      </x:c>
      <x:c r="G107" s="14" t="str">
        <x:v>P6 Business &amp; Growth</x:v>
      </x:c>
      <x:c r="H107" s="14" t="str">
        <x:v>BN-P0-001,BN-P0-004,BN-P0-007, admin auth</x:v>
      </x:c>
      <x:c r="I107" s="14" t="str">
        <x:v>Screening queue, review, action, appeal services</x:v>
      </x:c>
      <x:c r="J107" s="14" t="str">
        <x:v>Report/block/mute/appeal/moderation console UI</x:v>
      </x:c>
      <x:c r="K107" s="14" t="str">
        <x:v>moderation case/evidence/decision/appeal schema</x:v>
      </x:c>
      <x:c r="L107" s="14" t="str"/>
      <x:c r="M107" s="14" t="str">
        <x:v>Test functional path + negative/authorization cases for FR-MOD-003</x:v>
      </x:c>
      <x:c r="N107" s="14" t="str">
        <x:v>Không thay thế tư vấn y tế.</x:v>
      </x:c>
      <x:c r="O107" s="14" t="str">
        <x:v>8</x:v>
      </x:c>
      <x:c r="P107" s="14" t="str">
        <x:v>Not Started</x:v>
      </x:c>
      <x:c r="Q107" s="14" t="str">
        <x:v>Unassigned</x:v>
      </x:c>
      <x:c r="R107" s="14" t="str"/>
    </x:row>
    <x:row r="108">
      <x:c r="A108" s="14" t="str">
        <x:v>BN-P6-095</x:v>
      </x:c>
      <x:c r="B108" s="14" t="str">
        <x:v>Trust, Safety &amp; Moderation</x:v>
      </x:c>
      <x:c r="C108" s="14" t="str">
        <x:v>FR-MOD-004</x:v>
      </x:c>
      <x:c r="D108" s="14" t="str">
        <x:v>Với vai trò moderator/user, tôi cần block/mute user, comment controls, hidden words.</x:v>
      </x:c>
      <x:c r="E108" s="14" t="str">
        <x:v>FR-MOD-004</x:v>
      </x:c>
      <x:c r="F108" s="14" t="str">
        <x:v>Should</x:v>
      </x:c>
      <x:c r="G108" s="14" t="str">
        <x:v>P6 Business &amp; Growth</x:v>
      </x:c>
      <x:c r="H108" s="14" t="str">
        <x:v>BN-P0-001,BN-P0-004,BN-P0-007, admin auth</x:v>
      </x:c>
      <x:c r="I108" s="14" t="str">
        <x:v>Screening queue, review, action, appeal services</x:v>
      </x:c>
      <x:c r="J108" s="14" t="str">
        <x:v>Report/block/mute/appeal/moderation console UI</x:v>
      </x:c>
      <x:c r="K108" s="14" t="str">
        <x:v>moderation case/evidence/decision/appeal schema</x:v>
      </x:c>
      <x:c r="L108" s="14" t="str"/>
      <x:c r="M108" s="14" t="str">
        <x:v>Test functional path + negative/authorization cases for FR-MOD-004</x:v>
      </x:c>
      <x:c r="N108" s="14" t="str">
        <x:v>Áp dụng tức thì trên feed.</x:v>
      </x:c>
      <x:c r="O108" s="14" t="str">
        <x:v>5</x:v>
      </x:c>
      <x:c r="P108" s="14" t="str">
        <x:v>Not Started</x:v>
      </x:c>
      <x:c r="Q108" s="14" t="str">
        <x:v>Unassigned</x:v>
      </x:c>
      <x:c r="R108" s="14" t="str"/>
    </x:row>
    <x:row r="109">
      <x:c r="A109" s="14" t="str">
        <x:v>BN-P6-096</x:v>
      </x:c>
      <x:c r="B109" s="14" t="str">
        <x:v>Trust, Safety &amp; Moderation</x:v>
      </x:c>
      <x:c r="C109" s="14" t="str">
        <x:v>FR-MOD-005</x:v>
      </x:c>
      <x:c r="D109" s="14" t="str">
        <x:v>Với vai trò moderator/user, tôi cần copyright/attribution takedown workflow cho recipe/media.</x:v>
      </x:c>
      <x:c r="E109" s="14" t="str">
        <x:v>FR-MOD-005</x:v>
      </x:c>
      <x:c r="F109" s="14" t="str">
        <x:v>Should</x:v>
      </x:c>
      <x:c r="G109" s="14" t="str">
        <x:v>P6 Business &amp; Growth</x:v>
      </x:c>
      <x:c r="H109" s="14" t="str">
        <x:v>BN-P0-001,BN-P0-004,BN-P0-007, admin auth</x:v>
      </x:c>
      <x:c r="I109" s="14" t="str">
        <x:v>Screening queue, review, action, appeal services</x:v>
      </x:c>
      <x:c r="J109" s="14" t="str">
        <x:v>Report/block/mute/appeal/moderation console UI</x:v>
      </x:c>
      <x:c r="K109" s="14" t="str">
        <x:v>moderation case/evidence/decision/appeal schema</x:v>
      </x:c>
      <x:c r="L109" s="14" t="str"/>
      <x:c r="M109" s="14" t="str">
        <x:v>Test functional path + negative/authorization cases for FR-MOD-005</x:v>
      </x:c>
      <x:c r="N109" s="14" t="str">
        <x:v>Giữ evidence/audit theo policy.</x:v>
      </x:c>
      <x:c r="O109" s="14" t="str">
        <x:v>5</x:v>
      </x:c>
      <x:c r="P109" s="14" t="str">
        <x:v>Not Started</x:v>
      </x:c>
      <x:c r="Q109" s="14" t="str">
        <x:v>Unassigned</x:v>
      </x:c>
      <x:c r="R109" s="14" t="str"/>
    </x:row>
    <x:row r="110">
      <x:c r="A110" s="14" t="str">
        <x:v>BN-P6-097</x:v>
      </x:c>
      <x:c r="B110" s="14" t="str">
        <x:v>Analytics &amp; Experimentation</x:v>
      </x:c>
      <x:c r="C110" s="14" t="str">
        <x:v>FR-AN-001</x:v>
      </x:c>
      <x:c r="D110" s="14" t="str">
        <x:v>Với vai trò product team, tôi cần event tracking chuẩn hóa cho acquisition → activation → cook → feedback → retention → conversion.</x:v>
      </x:c>
      <x:c r="E110" s="14" t="str">
        <x:v>FR-AN-001</x:v>
      </x:c>
      <x:c r="F110" s="14" t="str">
        <x:v>Must</x:v>
      </x:c>
      <x:c r="G110" s="14" t="str">
        <x:v>P6 Business &amp; Growth</x:v>
      </x:c>
      <x:c r="H110" s="14" t="str">
        <x:v>BN-P0-001,BN-P0-004,BN-P0-007, admin auth</x:v>
      </x:c>
      <x:c r="I110" s="14" t="str">
        <x:v>Event ingestion, experiment assignment, KPI aggregation</x:v>
      </x:c>
      <x:c r="J110" s="14" t="str">
        <x:v>Analytics consent/experiment surface + internal dashboards</x:v>
      </x:c>
      <x:c r="K110" s="14" t="str">
        <x:v>analytics event/experiment/assignment schema</x:v>
      </x:c>
      <x:c r="L110" s="14" t="str"/>
      <x:c r="M110" s="14" t="str">
        <x:v>Test functional path + negative/authorization cases for FR-AN-001</x:v>
      </x:c>
      <x:c r="N110" s="14" t="str">
        <x:v>Event schema versioned.</x:v>
      </x:c>
      <x:c r="O110" s="14" t="str">
        <x:v>5</x:v>
      </x:c>
      <x:c r="P110" s="14" t="str">
        <x:v>Not Started</x:v>
      </x:c>
      <x:c r="Q110" s="14" t="str">
        <x:v>Unassigned</x:v>
      </x:c>
      <x:c r="R110" s="14" t="str"/>
    </x:row>
    <x:row r="111">
      <x:c r="A111" s="14" t="str">
        <x:v>BN-P6-098</x:v>
      </x:c>
      <x:c r="B111" s="14" t="str">
        <x:v>Analytics &amp; Experimentation</x:v>
      </x:c>
      <x:c r="C111" s="14" t="str">
        <x:v>FR-AN-002</x:v>
      </x:c>
      <x:c r="D111" s="14" t="str">
        <x:v>Với vai trò product team, tôi cần a/B testing, feature rollout, holdout và experiment guardrail metrics.</x:v>
      </x:c>
      <x:c r="E111" s="14" t="str">
        <x:v>FR-AN-002</x:v>
      </x:c>
      <x:c r="F111" s="14" t="str">
        <x:v>Should</x:v>
      </x:c>
      <x:c r="G111" s="14" t="str">
        <x:v>P6 Business &amp; Growth</x:v>
      </x:c>
      <x:c r="H111" s="14" t="str">
        <x:v>BN-P0-001,BN-P0-004,BN-P0-007, admin auth</x:v>
      </x:c>
      <x:c r="I111" s="14" t="str">
        <x:v>Event ingestion, experiment assignment, KPI aggregation</x:v>
      </x:c>
      <x:c r="J111" s="14" t="str">
        <x:v>Analytics consent/experiment surface + internal dashboards</x:v>
      </x:c>
      <x:c r="K111" s="14" t="str">
        <x:v>analytics event/experiment/assignment schema</x:v>
      </x:c>
      <x:c r="L111" s="14" t="str"/>
      <x:c r="M111" s="14" t="str">
        <x:v>Test functional path + negative/authorization cases for FR-AN-002</x:v>
      </x:c>
      <x:c r="N111" s="14" t="str">
        <x:v>Không experiment safety-critical logic.</x:v>
      </x:c>
      <x:c r="O111" s="14" t="str">
        <x:v>5</x:v>
      </x:c>
      <x:c r="P111" s="14" t="str">
        <x:v>Not Started</x:v>
      </x:c>
      <x:c r="Q111" s="14" t="str">
        <x:v>Unassigned</x:v>
      </x:c>
      <x:c r="R111" s="14" t="str"/>
    </x:row>
    <x:row r="112">
      <x:c r="A112" s="14" t="str">
        <x:v>BN-P6-099</x:v>
      </x:c>
      <x:c r="B112" s="14" t="str">
        <x:v>Analytics &amp; Experimentation</x:v>
      </x:c>
      <x:c r="C112" s="14" t="str">
        <x:v>FR-AN-003</x:v>
      </x:c>
      <x:c r="D112" s="14" t="str">
        <x:v>Với vai trò product team, tôi cần referral code/link và reward theo policy chống abuse.</x:v>
      </x:c>
      <x:c r="E112" s="14" t="str">
        <x:v>FR-AN-003</x:v>
      </x:c>
      <x:c r="F112" s="14" t="str">
        <x:v>Could</x:v>
      </x:c>
      <x:c r="G112" s="14" t="str">
        <x:v>P6 Business &amp; Growth</x:v>
      </x:c>
      <x:c r="H112" s="14" t="str">
        <x:v>BN-P0-001,BN-P0-004,BN-P0-007, admin auth</x:v>
      </x:c>
      <x:c r="I112" s="14" t="str">
        <x:v>Event ingestion, experiment assignment, KPI aggregation</x:v>
      </x:c>
      <x:c r="J112" s="14" t="str">
        <x:v>Analytics consent/experiment surface + internal dashboards</x:v>
      </x:c>
      <x:c r="K112" s="14" t="str">
        <x:v>analytics event/experiment/assignment schema</x:v>
      </x:c>
      <x:c r="L112" s="14" t="str"/>
      <x:c r="M112" s="14" t="str">
        <x:v>Test functional path + negative/authorization cases for FR-AN-003</x:v>
      </x:c>
      <x:c r="N112" s="14" t="str">
        <x:v>Fraud detection basic.</x:v>
      </x:c>
      <x:c r="O112" s="14" t="str">
        <x:v>3</x:v>
      </x:c>
      <x:c r="P112" s="14" t="str">
        <x:v>Not Started</x:v>
      </x:c>
      <x:c r="Q112" s="14" t="str">
        <x:v>Unassigned</x:v>
      </x:c>
      <x:c r="R112" s="14" t="str"/>
    </x:row>
    <x:row r="113">
      <x:c r="A113" s="14" t="str">
        <x:v>BN-P6-100</x:v>
      </x:c>
      <x:c r="B113" s="14" t="str">
        <x:v>Analytics &amp; Experimentation</x:v>
      </x:c>
      <x:c r="C113" s="14" t="str">
        <x:v>FR-AN-004</x:v>
      </x:c>
      <x:c r="D113" s="14" t="str">
        <x:v>Với vai trò product team, tôi cần attribution campaign/channel và deep link.</x:v>
      </x:c>
      <x:c r="E113" s="14" t="str">
        <x:v>FR-AN-004</x:v>
      </x:c>
      <x:c r="F113" s="14" t="str">
        <x:v>Should</x:v>
      </x:c>
      <x:c r="G113" s="14" t="str">
        <x:v>P6 Business &amp; Growth</x:v>
      </x:c>
      <x:c r="H113" s="14" t="str">
        <x:v>BN-P0-001,BN-P0-004,BN-P0-007, admin auth</x:v>
      </x:c>
      <x:c r="I113" s="14" t="str">
        <x:v>Event ingestion, experiment assignment, KPI aggregation</x:v>
      </x:c>
      <x:c r="J113" s="14" t="str">
        <x:v>Analytics consent/experiment surface + internal dashboards</x:v>
      </x:c>
      <x:c r="K113" s="14" t="str">
        <x:v>analytics event/experiment/assignment schema</x:v>
      </x:c>
      <x:c r="L113" s="14" t="str"/>
      <x:c r="M113" s="14" t="str">
        <x:v>Test functional path + negative/authorization cases for FR-AN-004</x:v>
      </x:c>
      <x:c r="N113" s="14" t="str">
        <x:v>Respect privacy/consent.</x:v>
      </x:c>
      <x:c r="O113" s="14" t="str">
        <x:v>5</x:v>
      </x:c>
      <x:c r="P113" s="14" t="str">
        <x:v>Not Started</x:v>
      </x:c>
      <x:c r="Q113" s="14" t="str">
        <x:v>Unassigned</x:v>
      </x:c>
      <x:c r="R113" s="14" t="str"/>
    </x:row>
    <x:row r="114">
      <x:c r="A114" s="14" t="str">
        <x:v>BN-P6-101</x:v>
      </x:c>
      <x:c r="B114" s="14" t="str">
        <x:v>Analytics &amp; Experimentation</x:v>
      </x:c>
      <x:c r="C114" s="14" t="str">
        <x:v>FR-AN-005</x:v>
      </x:c>
      <x:c r="D114" s="14" t="str">
        <x:v>Với vai trò product team, tôi cần cohort dashboard theo lifecycle, Taste maturity và household adoption.</x:v>
      </x:c>
      <x:c r="E114" s="14" t="str">
        <x:v>FR-AN-005</x:v>
      </x:c>
      <x:c r="F114" s="14" t="str">
        <x:v>Must</x:v>
      </x:c>
      <x:c r="G114" s="14" t="str">
        <x:v>P6 Business &amp; Growth</x:v>
      </x:c>
      <x:c r="H114" s="14" t="str">
        <x:v>BN-P0-001,BN-P0-004,BN-P0-007, admin auth</x:v>
      </x:c>
      <x:c r="I114" s="14" t="str">
        <x:v>Event ingestion, experiment assignment, KPI aggregation</x:v>
      </x:c>
      <x:c r="J114" s="14" t="str">
        <x:v>Analytics consent/experiment surface + internal dashboards</x:v>
      </x:c>
      <x:c r="K114" s="14" t="str">
        <x:v>analytics event/experiment/assignment schema</x:v>
      </x:c>
      <x:c r="L114" s="14" t="str"/>
      <x:c r="M114" s="14" t="str">
        <x:v>Test functional path + negative/authorization cases for FR-AN-005</x:v>
      </x:c>
      <x:c r="N114" s="14" t="str">
        <x:v>Data aggregated/anonymized where possible.</x:v>
      </x:c>
      <x:c r="O114" s="14" t="str">
        <x:v>5</x:v>
      </x:c>
      <x:c r="P114" s="14" t="str">
        <x:v>Not Started</x:v>
      </x:c>
      <x:c r="Q114" s="14" t="str">
        <x:v>Unassigned</x:v>
      </x:c>
      <x:c r="R114" s="14" t="str"/>
    </x:row>
    <x:row r="115">
      <x:c r="A115" s="14" t="str">
        <x:v>BN-P6-102</x:v>
      </x:c>
      <x:c r="B115" s="14" t="str">
        <x:v>Support &amp; Product Quality</x:v>
      </x:c>
      <x:c r="C115" s="14" t="str">
        <x:v>FR-SUP-001</x:v>
      </x:c>
      <x:c r="D115" s="14" t="str">
        <x:v>Với vai trò user/support, tôi cần in-app feedback/bug report đính kèm app version, screen context và log kỹ thuật đã scrub PII.</x:v>
      </x:c>
      <x:c r="E115" s="14" t="str">
        <x:v>FR-SUP-001</x:v>
      </x:c>
      <x:c r="F115" s="14" t="str">
        <x:v>Must</x:v>
      </x:c>
      <x:c r="G115" s="14" t="str">
        <x:v>P6 Business &amp; Growth</x:v>
      </x:c>
      <x:c r="H115" s="14" t="str">
        <x:v>BN-P0-001,BN-P0-004,BN-P0-007, admin auth</x:v>
      </x:c>
      <x:c r="I115" s="14" t="str">
        <x:v>Feedback/bug/quality-report/support diagnostic APIs</x:v>
      </x:c>
      <x:c r="J115" s="14" t="str">
        <x:v>Feedback/help/status/support/diagnostic UI</x:v>
      </x:c>
      <x:c r="K115" s="14" t="str">
        <x:v>support ticket/quality report/diagnostic schema</x:v>
      </x:c>
      <x:c r="L115" s="14" t="str"/>
      <x:c r="M115" s="14" t="str">
        <x:v>Test functional path + negative/authorization cases for FR-SUP-001</x:v>
      </x:c>
      <x:c r="N115" s="14" t="str">
        <x:v>User xem trước attachment.</x:v>
      </x:c>
      <x:c r="O115" s="14" t="str">
        <x:v>5</x:v>
      </x:c>
      <x:c r="P115" s="14" t="str">
        <x:v>Not Started</x:v>
      </x:c>
      <x:c r="Q115" s="14" t="str">
        <x:v>Unassigned</x:v>
      </x:c>
      <x:c r="R115" s="14" t="str"/>
    </x:row>
    <x:row r="116">
      <x:c r="A116" s="14" t="str">
        <x:v>BN-P6-103</x:v>
      </x:c>
      <x:c r="B116" s="14" t="str">
        <x:v>Support &amp; Product Quality</x:v>
      </x:c>
      <x:c r="C116" s="14" t="str">
        <x:v>FR-SUP-002</x:v>
      </x:c>
      <x:c r="D116" s="14" t="str">
        <x:v>Với vai trò user/support, tôi cần help center/FAQ/search và contact support.</x:v>
      </x:c>
      <x:c r="E116" s="14" t="str">
        <x:v>FR-SUP-002</x:v>
      </x:c>
      <x:c r="F116" s="14" t="str">
        <x:v>Should</x:v>
      </x:c>
      <x:c r="G116" s="14" t="str">
        <x:v>P6 Business &amp; Growth</x:v>
      </x:c>
      <x:c r="H116" s="14" t="str">
        <x:v>BN-P0-001,BN-P0-004,BN-P0-007, admin auth</x:v>
      </x:c>
      <x:c r="I116" s="14" t="str">
        <x:v>Feedback/bug/quality-report/support diagnostic APIs</x:v>
      </x:c>
      <x:c r="J116" s="14" t="str">
        <x:v>Feedback/help/status/support/diagnostic UI</x:v>
      </x:c>
      <x:c r="K116" s="14" t="str">
        <x:v>support ticket/quality report/diagnostic schema</x:v>
      </x:c>
      <x:c r="L116" s="14" t="str"/>
      <x:c r="M116" s="14" t="str">
        <x:v>Test functional path + negative/authorization cases for FR-SUP-002</x:v>
      </x:c>
      <x:c r="N116" s="14" t="str">
        <x:v>CMS-manageable.</x:v>
      </x:c>
      <x:c r="O116" s="14" t="str">
        <x:v>5</x:v>
      </x:c>
      <x:c r="P116" s="14" t="str">
        <x:v>Not Started</x:v>
      </x:c>
      <x:c r="Q116" s="14" t="str">
        <x:v>Unassigned</x:v>
      </x:c>
      <x:c r="R116" s="14" t="str"/>
    </x:row>
    <x:row r="117">
      <x:c r="A117" s="14" t="str">
        <x:v>BN-P6-104</x:v>
      </x:c>
      <x:c r="B117" s="14" t="str">
        <x:v>Support &amp; Product Quality</x:v>
      </x:c>
      <x:c r="C117" s="14" t="str">
        <x:v>FR-SUP-003</x:v>
      </x:c>
      <x:c r="D117" s="14" t="str">
        <x:v>Với vai trò user/support, tôi cần recipe quality report riêng cho định lượng sai, step thiếu, kết quả không đúng.</x:v>
      </x:c>
      <x:c r="E117" s="14" t="str">
        <x:v>FR-SUP-003</x:v>
      </x:c>
      <x:c r="F117" s="14" t="str">
        <x:v>Must</x:v>
      </x:c>
      <x:c r="G117" s="14" t="str">
        <x:v>P6 Business &amp; Growth</x:v>
      </x:c>
      <x:c r="H117" s="14" t="str">
        <x:v>BN-P0-001,BN-P0-004,BN-P0-007, admin auth</x:v>
      </x:c>
      <x:c r="I117" s="14" t="str">
        <x:v>Feedback/bug/quality-report/support diagnostic APIs</x:v>
      </x:c>
      <x:c r="J117" s="14" t="str">
        <x:v>Feedback/help/status/support/diagnostic UI</x:v>
      </x:c>
      <x:c r="K117" s="14" t="str">
        <x:v>support ticket/quality report/diagnostic schema</x:v>
      </x:c>
      <x:c r="L117" s="14" t="str"/>
      <x:c r="M117" s="14" t="str">
        <x:v>Test functional path + negative/authorization cases for FR-SUP-003</x:v>
      </x:c>
      <x:c r="N117" s="14" t="str">
        <x:v>Tạo content review task.</x:v>
      </x:c>
      <x:c r="O117" s="14" t="str">
        <x:v>5</x:v>
      </x:c>
      <x:c r="P117" s="14" t="str">
        <x:v>Not Started</x:v>
      </x:c>
      <x:c r="Q117" s="14" t="str">
        <x:v>Unassigned</x:v>
      </x:c>
      <x:c r="R117" s="14" t="str"/>
    </x:row>
    <x:row r="118">
      <x:c r="A118" s="14" t="str">
        <x:v>BN-P6-105</x:v>
      </x:c>
      <x:c r="B118" s="14" t="str">
        <x:v>Support &amp; Product Quality</x:v>
      </x:c>
      <x:c r="C118" s="14" t="str">
        <x:v>FR-SUP-004</x:v>
      </x:c>
      <x:c r="D118" s="14" t="str">
        <x:v>Với vai trò user/support, tôi cần status page / maintenance message khi service suy giảm.</x:v>
      </x:c>
      <x:c r="E118" s="14" t="str">
        <x:v>FR-SUP-004</x:v>
      </x:c>
      <x:c r="F118" s="14" t="str">
        <x:v>Should</x:v>
      </x:c>
      <x:c r="G118" s="14" t="str">
        <x:v>P6 Business &amp; Growth</x:v>
      </x:c>
      <x:c r="H118" s="14" t="str">
        <x:v>BN-P0-001,BN-P0-004,BN-P0-007, admin auth</x:v>
      </x:c>
      <x:c r="I118" s="14" t="str">
        <x:v>Feedback/bug/quality-report/support diagnostic APIs</x:v>
      </x:c>
      <x:c r="J118" s="14" t="str">
        <x:v>Feedback/help/status/support/diagnostic UI</x:v>
      </x:c>
      <x:c r="K118" s="14" t="str">
        <x:v>support ticket/quality report/diagnostic schema</x:v>
      </x:c>
      <x:c r="L118" s="14" t="str"/>
      <x:c r="M118" s="14" t="str">
        <x:v>Test functional path + negative/authorization cases for FR-SUP-004</x:v>
      </x:c>
      <x:c r="N118" s="14" t="str">
        <x:v>Remote config hỗ trợ.</x:v>
      </x:c>
      <x:c r="O118" s="14" t="str">
        <x:v>5</x:v>
      </x:c>
      <x:c r="P118" s="14" t="str">
        <x:v>Not Started</x:v>
      </x:c>
      <x:c r="Q118" s="14" t="str">
        <x:v>Unassigned</x:v>
      </x:c>
      <x:c r="R118" s="14" t="str"/>
    </x:row>
    <x:row r="119">
      <x:c r="A119" s="14" t="str">
        <x:v>BN-P7-106</x:v>
      </x:c>
      <x:c r="B119" s="14" t="str">
        <x:v>Platform &amp; Accessibility</x:v>
      </x:c>
      <x:c r="C119" s="14" t="str">
        <x:v>FR-PLAT-001</x:v>
      </x:c>
      <x:c r="D119" s="14" t="str">
        <x:v>Với vai trò user, tôi cần web responsive/PWA và native iOS/Android cùng account/data.</x:v>
      </x:c>
      <x:c r="E119" s="14" t="str">
        <x:v>FR-PLAT-001</x:v>
      </x:c>
      <x:c r="F119" s="14" t="str">
        <x:v>Must</x:v>
      </x:c>
      <x:c r="G119" s="14" t="str">
        <x:v>P7 Production &amp; Native</x:v>
      </x:c>
      <x:c r="H119" s="14" t="str">
        <x:v>BN-P0-001,BN-P0-004,BN-P0-007, cross-cutting</x:v>
      </x:c>
      <x:c r="I119" s="14" t="str">
        <x:v>Version/deep-link/i18n/unit-conversion/platform APIs</x:v>
      </x:c>
      <x:c r="J119" s="14" t="str">
        <x:v>Responsive/PWA/native parity/a11y/i18n/deep-link UI</x:v>
      </x:c>
      <x:c r="K119" s="14" t="str">
        <x:v>device/app-version/localization metadata schema</x:v>
      </x:c>
      <x:c r="L119" s="14" t="str"/>
      <x:c r="M119" s="14" t="str">
        <x:v>Test functional path + negative/authorization cases for FR-PLAT-001</x:v>
      </x:c>
      <x:c r="N119" s="14" t="str">
        <x:v>Core flows parity; platform-native billing/push.</x:v>
      </x:c>
      <x:c r="O119" s="14" t="str">
        <x:v>8</x:v>
      </x:c>
      <x:c r="P119" s="14" t="str">
        <x:v>Not Started</x:v>
      </x:c>
      <x:c r="Q119" s="14" t="str">
        <x:v>Unassigned</x:v>
      </x:c>
      <x:c r="R119" s="14" t="str"/>
    </x:row>
    <x:row r="120">
      <x:c r="A120" s="14" t="str">
        <x:v>BN-P7-107</x:v>
      </x:c>
      <x:c r="B120" s="14" t="str">
        <x:v>Platform &amp; Accessibility</x:v>
      </x:c>
      <x:c r="C120" s="14" t="str">
        <x:v>FR-PLAT-002</x:v>
      </x:c>
      <x:c r="D120" s="14" t="str">
        <x:v>Với vai trò user, tôi cần hỗ trợ Vietnamese-first; kiến trúc i18n cho English và locale khác.</x:v>
      </x:c>
      <x:c r="E120" s="14" t="str">
        <x:v>FR-PLAT-002</x:v>
      </x:c>
      <x:c r="F120" s="14" t="str">
        <x:v>Must</x:v>
      </x:c>
      <x:c r="G120" s="14" t="str">
        <x:v>P7 Production &amp; Native</x:v>
      </x:c>
      <x:c r="H120" s="14" t="str">
        <x:v>BN-P0-001,BN-P0-004,BN-P0-007, cross-cutting</x:v>
      </x:c>
      <x:c r="I120" s="14" t="str">
        <x:v>Version/deep-link/i18n/unit-conversion/platform APIs</x:v>
      </x:c>
      <x:c r="J120" s="14" t="str">
        <x:v>Responsive/PWA/native parity/a11y/i18n/deep-link UI</x:v>
      </x:c>
      <x:c r="K120" s="14" t="str">
        <x:v>device/app-version/localization metadata schema</x:v>
      </x:c>
      <x:c r="L120" s="14" t="str"/>
      <x:c r="M120" s="14" t="str">
        <x:v>Test functional path + negative/authorization cases for FR-PLAT-002</x:v>
      </x:c>
      <x:c r="N120" s="14" t="str">
        <x:v>Không hard-code copy trong logic.</x:v>
      </x:c>
      <x:c r="O120" s="14" t="str">
        <x:v>8</x:v>
      </x:c>
      <x:c r="P120" s="14" t="str">
        <x:v>Not Started</x:v>
      </x:c>
      <x:c r="Q120" s="14" t="str">
        <x:v>Unassigned</x:v>
      </x:c>
      <x:c r="R120" s="14" t="str"/>
    </x:row>
    <x:row r="121">
      <x:c r="A121" s="14" t="str">
        <x:v>BN-P7-108</x:v>
      </x:c>
      <x:c r="B121" s="14" t="str">
        <x:v>Platform &amp; Accessibility</x:v>
      </x:c>
      <x:c r="C121" s="14" t="str">
        <x:v>FR-PLAT-003</x:v>
      </x:c>
      <x:c r="D121" s="14" t="str">
        <x:v>Với vai trò user, tôi cần unit system configurable g/ml/tsp/tbsp/cup; canonical internal unit.</x:v>
      </x:c>
      <x:c r="E121" s="14" t="str">
        <x:v>FR-PLAT-003</x:v>
      </x:c>
      <x:c r="F121" s="14" t="str">
        <x:v>Must</x:v>
      </x:c>
      <x:c r="G121" s="14" t="str">
        <x:v>P7 Production &amp; Native</x:v>
      </x:c>
      <x:c r="H121" s="14" t="str">
        <x:v>BN-P0-001,BN-P0-004,BN-P0-007, cross-cutting</x:v>
      </x:c>
      <x:c r="I121" s="14" t="str">
        <x:v>Version/deep-link/i18n/unit-conversion/platform APIs</x:v>
      </x:c>
      <x:c r="J121" s="14" t="str">
        <x:v>Responsive/PWA/native parity/a11y/i18n/deep-link UI</x:v>
      </x:c>
      <x:c r="K121" s="14" t="str">
        <x:v>device/app-version/localization metadata schema</x:v>
      </x:c>
      <x:c r="L121" s="14" t="str"/>
      <x:c r="M121" s="14" t="str">
        <x:v>Test functional path + negative/authorization cases for FR-PLAT-003</x:v>
      </x:c>
      <x:c r="N121" s="14" t="str">
        <x:v>Conversion có rounding policy.</x:v>
      </x:c>
      <x:c r="O121" s="14" t="str">
        <x:v>8</x:v>
      </x:c>
      <x:c r="P121" s="14" t="str">
        <x:v>Not Started</x:v>
      </x:c>
      <x:c r="Q121" s="14" t="str">
        <x:v>Unassigned</x:v>
      </x:c>
      <x:c r="R121" s="14" t="str"/>
    </x:row>
    <x:row r="122">
      <x:c r="A122" s="14" t="str">
        <x:v>BN-P7-109</x:v>
      </x:c>
      <x:c r="B122" s="14" t="str">
        <x:v>Platform &amp; Accessibility</x:v>
      </x:c>
      <x:c r="C122" s="14" t="str">
        <x:v>FR-PLAT-004</x:v>
      </x:c>
      <x:c r="D122" s="14" t="str">
        <x:v>Với vai trò user, tôi cần accessibility: screen reader labels, contrast, scalable text, keyboard web, voice alternative.</x:v>
      </x:c>
      <x:c r="E122" s="14" t="str">
        <x:v>FR-PLAT-004</x:v>
      </x:c>
      <x:c r="F122" s="14" t="str">
        <x:v>Must</x:v>
      </x:c>
      <x:c r="G122" s="14" t="str">
        <x:v>P7 Production &amp; Native</x:v>
      </x:c>
      <x:c r="H122" s="14" t="str">
        <x:v>BN-P0-001,BN-P0-004,BN-P0-007, cross-cutting</x:v>
      </x:c>
      <x:c r="I122" s="14" t="str">
        <x:v>Version/deep-link/i18n/unit-conversion/platform APIs</x:v>
      </x:c>
      <x:c r="J122" s="14" t="str">
        <x:v>Responsive/PWA/native parity/a11y/i18n/deep-link UI</x:v>
      </x:c>
      <x:c r="K122" s="14" t="str">
        <x:v>device/app-version/localization metadata schema</x:v>
      </x:c>
      <x:c r="L122" s="14" t="str"/>
      <x:c r="M122" s="14" t="str">
        <x:v>Test functional path + negative/authorization cases for FR-PLAT-004</x:v>
      </x:c>
      <x:c r="N122" s="14" t="str">
        <x:v>Theo WCAG 2.2 AA mục tiêu.</x:v>
      </x:c>
      <x:c r="O122" s="14" t="str">
        <x:v>8</x:v>
      </x:c>
      <x:c r="P122" s="14" t="str">
        <x:v>Not Started</x:v>
      </x:c>
      <x:c r="Q122" s="14" t="str">
        <x:v>Unassigned</x:v>
      </x:c>
      <x:c r="R122" s="14" t="str"/>
    </x:row>
    <x:row r="123">
      <x:c r="A123" s="14" t="str">
        <x:v>BN-P7-110</x:v>
      </x:c>
      <x:c r="B123" s="14" t="str">
        <x:v>Platform &amp; Accessibility</x:v>
      </x:c>
      <x:c r="C123" s="14" t="str">
        <x:v>FR-PLAT-005</x:v>
      </x:c>
      <x:c r="D123" s="14" t="str">
        <x:v>Với vai trò user, tôi cần deep link/universal link và share card cho recipe/post/profile.</x:v>
      </x:c>
      <x:c r="E123" s="14" t="str">
        <x:v>FR-PLAT-005</x:v>
      </x:c>
      <x:c r="F123" s="14" t="str">
        <x:v>Should</x:v>
      </x:c>
      <x:c r="G123" s="14" t="str">
        <x:v>P7 Production &amp; Native</x:v>
      </x:c>
      <x:c r="H123" s="14" t="str">
        <x:v>BN-P0-001,BN-P0-004,BN-P0-007, cross-cutting</x:v>
      </x:c>
      <x:c r="I123" s="14" t="str">
        <x:v>Version/deep-link/i18n/unit-conversion/platform APIs</x:v>
      </x:c>
      <x:c r="J123" s="14" t="str">
        <x:v>Responsive/PWA/native parity/a11y/i18n/deep-link UI</x:v>
      </x:c>
      <x:c r="K123" s="14" t="str">
        <x:v>device/app-version/localization metadata schema</x:v>
      </x:c>
      <x:c r="L123" s="14" t="str"/>
      <x:c r="M123" s="14" t="str">
        <x:v>Test functional path + negative/authorization cases for FR-PLAT-005</x:v>
      </x:c>
      <x:c r="N123" s="14" t="str">
        <x:v>Fallback web nếu app chưa cài.</x:v>
      </x:c>
      <x:c r="O123" s="14" t="str">
        <x:v>5</x:v>
      </x:c>
      <x:c r="P123" s="14" t="str">
        <x:v>Not Started</x:v>
      </x:c>
      <x:c r="Q123" s="14" t="str">
        <x:v>Unassigned</x:v>
      </x:c>
      <x:c r="R123" s="14" t="str"/>
    </x:row>
    <x:row r="124">
      <x:c r="A124" s="14" t="str">
        <x:v>BN-P7-111</x:v>
      </x:c>
      <x:c r="B124" s="14" t="str">
        <x:v>Privacy &amp; Data Control</x:v>
      </x:c>
      <x:c r="C124" s="14" t="str">
        <x:v>FR-PRV-001</x:v>
      </x:c>
      <x:c r="D124" s="14" t="str">
        <x:v>Với vai trò user, tôi cần consent tách biệt cho personalization, analytics, marketing và social discovery khi cần.</x:v>
      </x:c>
      <x:c r="E124" s="14" t="str">
        <x:v>FR-PRV-001</x:v>
      </x:c>
      <x:c r="F124" s="14" t="str">
        <x:v>Must</x:v>
      </x:c>
      <x:c r="G124" s="14" t="str">
        <x:v>P7 Production &amp; Native</x:v>
      </x:c>
      <x:c r="H124" s="14" t="str">
        <x:v>BN-P0-001,BN-P0-004,BN-P0-007, cross-cutting</x:v>
      </x:c>
      <x:c r="I124" s="14" t="str">
        <x:v>Consent/export/delete/anonymization workflows</x:v>
      </x:c>
      <x:c r="J124" s="14" t="str">
        <x:v>Consent/privacy center/export/delete controls</x:v>
      </x:c>
      <x:c r="K124" s="14" t="str">
        <x:v>consent/export/delete-request/privacy-audit schema</x:v>
      </x:c>
      <x:c r="L124" s="14" t="str"/>
      <x:c r="M124" s="14" t="str">
        <x:v>Test functional path + negative/authorization cases for FR-PRV-001</x:v>
      </x:c>
      <x:c r="N124" s="14" t="str">
        <x:v>Consent versioned.</x:v>
      </x:c>
      <x:c r="O124" s="14" t="str">
        <x:v>5</x:v>
      </x:c>
      <x:c r="P124" s="14" t="str">
        <x:v>Not Started</x:v>
      </x:c>
      <x:c r="Q124" s="14" t="str">
        <x:v>Unassigned</x:v>
      </x:c>
      <x:c r="R124" s="14" t="str"/>
    </x:row>
    <x:row r="125">
      <x:c r="A125" s="14" t="str">
        <x:v>BN-P7-112</x:v>
      </x:c>
      <x:c r="B125" s="14" t="str">
        <x:v>Privacy &amp; Data Control</x:v>
      </x:c>
      <x:c r="C125" s="14" t="str">
        <x:v>FR-PRV-002</x:v>
      </x:c>
      <x:c r="D125" s="14" t="str">
        <x:v>Với vai trò user, tôi cần cho phép user xem/xóa cook history, feedback, media, social content và household membership.</x:v>
      </x:c>
      <x:c r="E125" s="14" t="str">
        <x:v>FR-PRV-002</x:v>
      </x:c>
      <x:c r="F125" s="14" t="str">
        <x:v>Must</x:v>
      </x:c>
      <x:c r="G125" s="14" t="str">
        <x:v>P7 Production &amp; Native</x:v>
      </x:c>
      <x:c r="H125" s="14" t="str">
        <x:v>BN-P0-001,BN-P0-004,BN-P0-007, cross-cutting</x:v>
      </x:c>
      <x:c r="I125" s="14" t="str">
        <x:v>Consent/export/delete/anonymization workflows</x:v>
      </x:c>
      <x:c r="J125" s="14" t="str">
        <x:v>Consent/privacy center/export/delete controls</x:v>
      </x:c>
      <x:c r="K125" s="14" t="str">
        <x:v>consent/export/delete-request/privacy-audit schema</x:v>
      </x:c>
      <x:c r="L125" s="14" t="str"/>
      <x:c r="M125" s="14" t="str">
        <x:v>Test functional path + negative/authorization cases for FR-PRV-002</x:v>
      </x:c>
      <x:c r="N125" s="14" t="str">
        <x:v>Delete propagation có SLA.</x:v>
      </x:c>
      <x:c r="O125" s="14" t="str">
        <x:v>5</x:v>
      </x:c>
      <x:c r="P125" s="14" t="str">
        <x:v>Not Started</x:v>
      </x:c>
      <x:c r="Q125" s="14" t="str">
        <x:v>Unassigned</x:v>
      </x:c>
      <x:c r="R125" s="14" t="str"/>
    </x:row>
    <x:row r="126">
      <x:c r="A126" s="14" t="str">
        <x:v>BN-P7-113</x:v>
      </x:c>
      <x:c r="B126" s="14" t="str">
        <x:v>Privacy &amp; Data Control</x:v>
      </x:c>
      <x:c r="C126" s="14" t="str">
        <x:v>FR-PRV-003</x:v>
      </x:c>
      <x:c r="D126" s="14" t="str">
        <x:v>Với vai trò user, tôi cần privacy mặc định: personal notes/private cook history không public.</x:v>
      </x:c>
      <x:c r="E126" s="14" t="str">
        <x:v>FR-PRV-003</x:v>
      </x:c>
      <x:c r="F126" s="14" t="str">
        <x:v>Must</x:v>
      </x:c>
      <x:c r="G126" s="14" t="str">
        <x:v>P7 Production &amp; Native</x:v>
      </x:c>
      <x:c r="H126" s="14" t="str">
        <x:v>BN-P0-001,BN-P0-004,BN-P0-007, cross-cutting</x:v>
      </x:c>
      <x:c r="I126" s="14" t="str">
        <x:v>Consent/export/delete/anonymization workflows</x:v>
      </x:c>
      <x:c r="J126" s="14" t="str">
        <x:v>Consent/privacy center/export/delete controls</x:v>
      </x:c>
      <x:c r="K126" s="14" t="str">
        <x:v>consent/export/delete-request/privacy-audit schema</x:v>
      </x:c>
      <x:c r="L126" s="14" t="str"/>
      <x:c r="M126" s="14" t="str">
        <x:v>Test functional path + negative/authorization cases for FR-PRV-003</x:v>
      </x:c>
      <x:c r="N126" s="14" t="str">
        <x:v>Social publish phải explicit.</x:v>
      </x:c>
      <x:c r="O126" s="14" t="str">
        <x:v>5</x:v>
      </x:c>
      <x:c r="P126" s="14" t="str">
        <x:v>Not Started</x:v>
      </x:c>
      <x:c r="Q126" s="14" t="str">
        <x:v>Unassigned</x:v>
      </x:c>
      <x:c r="R126" s="14" t="str"/>
    </x:row>
    <x:row r="127">
      <x:c r="A127" s="14" t="str">
        <x:v>BN-P7-114</x:v>
      </x:c>
      <x:c r="B127" s="14" t="str">
        <x:v>Privacy &amp; Data Control</x:v>
      </x:c>
      <x:c r="C127" s="14" t="str">
        <x:v>FR-PRV-004</x:v>
      </x:c>
      <x:c r="D127" s="14" t="str">
        <x:v>Với vai trò user, tôi cần minor/child profile không có social public độc lập nếu không phù hợp policy.</x:v>
      </x:c>
      <x:c r="E127" s="14" t="str">
        <x:v>FR-PRV-004</x:v>
      </x:c>
      <x:c r="F127" s="14" t="str">
        <x:v>Must</x:v>
      </x:c>
      <x:c r="G127" s="14" t="str">
        <x:v>P7 Production &amp; Native</x:v>
      </x:c>
      <x:c r="H127" s="14" t="str">
        <x:v>BN-P0-001,BN-P0-004,BN-P0-007, cross-cutting</x:v>
      </x:c>
      <x:c r="I127" s="14" t="str">
        <x:v>Consent/export/delete/anonymization workflows</x:v>
      </x:c>
      <x:c r="J127" s="14" t="str">
        <x:v>Consent/privacy center/export/delete controls</x:v>
      </x:c>
      <x:c r="K127" s="14" t="str">
        <x:v>consent/export/delete-request/privacy-audit schema</x:v>
      </x:c>
      <x:c r="L127" s="14" t="str"/>
      <x:c r="M127" s="14" t="str">
        <x:v>Test functional path + negative/authorization cases for FR-PRV-004</x:v>
      </x:c>
      <x:c r="N127" s="14" t="str">
        <x:v>Household guardian control.</x:v>
      </x:c>
      <x:c r="O127" s="14" t="str">
        <x:v>5</x:v>
      </x:c>
      <x:c r="P127" s="14" t="str">
        <x:v>Not Started</x:v>
      </x:c>
      <x:c r="Q127" s="14" t="str">
        <x:v>Unassigned</x:v>
      </x:c>
      <x:c r="R127" s="14" t="str"/>
    </x:row>
    <x:row r="128">
      <x:c r="A128" s="14" t="str">
        <x:v>BN-P7-115</x:v>
      </x:c>
      <x:c r="B128" s="14" t="str">
        <x:v>Privacy &amp; Data Control</x:v>
      </x:c>
      <x:c r="C128" s="14" t="str">
        <x:v>FR-PRV-005</x:v>
      </x:c>
      <x:c r="D128" s="14" t="str">
        <x:v>Với vai trò user, tôi cần data export ở định dạng machine-readable cho profile, recipe versions và history.</x:v>
      </x:c>
      <x:c r="E128" s="14" t="str">
        <x:v>FR-PRV-005</x:v>
      </x:c>
      <x:c r="F128" s="14" t="str">
        <x:v>Should</x:v>
      </x:c>
      <x:c r="G128" s="14" t="str">
        <x:v>P7 Production &amp; Native</x:v>
      </x:c>
      <x:c r="H128" s="14" t="str">
        <x:v>BN-P0-001,BN-P0-004,BN-P0-007, cross-cutting</x:v>
      </x:c>
      <x:c r="I128" s="14" t="str">
        <x:v>Consent/export/delete/anonymization workflows</x:v>
      </x:c>
      <x:c r="J128" s="14" t="str">
        <x:v>Consent/privacy center/export/delete controls</x:v>
      </x:c>
      <x:c r="K128" s="14" t="str">
        <x:v>consent/export/delete-request/privacy-audit schema</x:v>
      </x:c>
      <x:c r="L128" s="14" t="str"/>
      <x:c r="M128" s="14" t="str">
        <x:v>Test functional path + negative/authorization cases for FR-PRV-005</x:v>
      </x:c>
      <x:c r="N128" s="14" t="str">
        <x:v>Không export secret/internal scores có risk abuse nếu không cần.</x:v>
      </x:c>
      <x:c r="O128" s="14" t="str">
        <x:v>5</x:v>
      </x:c>
      <x:c r="P128" s="14" t="str">
        <x:v>Not Started</x:v>
      </x:c>
      <x:c r="Q128" s="14" t="str">
        <x:v>Unassigned</x:v>
      </x:c>
      <x:c r="R128" s="14" t="str"/>
    </x:row>
  </x:sheetData>
  <x:conditionalFormatting sqref="F2:F128">
    <x:cfRule type="expression" dxfId="0" priority="1">
      <x:formula>F2="Must"</x:formula>
    </x:cfRule>
    <x:cfRule type="expression" dxfId="1" priority="2">
      <x:formula>F2="Should"</x:formula>
    </x:cfRule>
  </x:conditionalFormatting>
  <x:conditionalFormatting sqref="P2:P128">
    <x:cfRule type="expression" dxfId="2" priority="3">
      <x:formula>P2="Done"</x:formula>
    </x:cfRule>
    <x:cfRule type="expression" dxfId="3" priority="4">
      <x:formula>P2="Blocked"</x:formula>
    </x:cfRule>
    <x:cfRule type="expression" dxfId="4" priority="5">
      <x:formula>P2="In Progress"</x:formula>
    </x:cfRule>
  </x:conditionalFormatting>
  <x:dataValidations count="4">
    <x:dataValidation type="list" sqref="F2:F128">
      <x:formula1>Lists!$B$2:$B$4</x:formula1>
    </x:dataValidation>
    <x:dataValidation type="list" sqref="G2:G128">
      <x:formula1>Lists!$C$2:$C$9</x:formula1>
    </x:dataValidation>
    <x:dataValidation type="list" sqref="P2:P128">
      <x:formula1>Lists!$A$2:$A$8</x:formula1>
    </x:dataValidation>
    <x:dataValidation type="list" sqref="Q2:Q128">
      <x:formula1>Lists!$D$2:$D$11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f3b0d5dabd4b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8" hidden="0" customWidth="1"/>
    <x:col min="4" max="4" width="32" hidden="0" customWidth="1"/>
    <x:col min="5" max="5" width="48" hidden="0" customWidth="1"/>
    <x:col min="6" max="6" width="34" hidden="0" customWidth="1"/>
    <x:col min="7" max="7" width="18" hidden="0" customWidth="1"/>
  </x:cols>
  <x:sheetData>
    <x:row r="1">
      <x:c r="A1" s="6" t="str">
        <x:v>Phase</x:v>
      </x:c>
      <x:c r="B1" s="6" t="str">
        <x:v>Goal</x:v>
      </x:c>
      <x:c r="C1" s="6" t="str">
        <x:v>Key Deliverables</x:v>
      </x:c>
      <x:c r="D1" s="6" t="str">
        <x:v>Entry Criteria</x:v>
      </x:c>
      <x:c r="E1" s="6" t="str">
        <x:v>Exit / Quality Gate</x:v>
      </x:c>
      <x:c r="F1" s="6" t="str">
        <x:v>Primary KPIs</x:v>
      </x:c>
      <x:c r="G1" s="6" t="str">
        <x:v>Recommended Sequence</x:v>
      </x:c>
    </x:row>
    <x:row r="2">
      <x:c r="A2" s="14" t="str">
        <x:v>P0 Foundation</x:v>
      </x:c>
      <x:c r="B2" s="14" t="str">
        <x:v>Tạo nền tảng code và delivery ổn định</x:v>
      </x:c>
      <x:c r="C2" s="14" t="str">
        <x:v>Monorepo; local stack; CI/CD; API conventions; DB migration; observability; security; AI gateway; analytics schema</x:v>
      </x:c>
      <x:c r="D2" s="14" t="str">
        <x:v>SRS/SDD baseline approved</x:v>
      </x:c>
      <x:c r="E2" s="14" t="str">
        <x:v>Repo build green; dev stack reproducible; security/observability baselines; contract ready</x:v>
      </x:c>
      <x:c r="F2" s="14" t="str">
        <x:v>Build success; test pass; setup time</x:v>
      </x:c>
      <x:c r="G2" s="14" t="str">
        <x:v>1</x:v>
      </x:c>
    </x:row>
    <x:row r="3">
      <x:c r="A3" s="14" t="str">
        <x:v>P1 Core Cooking</x:v>
      </x:c>
      <x:c r="B3" s="14" t="str">
        <x:v>Hoàn thành vòng nấu món chuẩn end-to-end</x:v>
      </x:c>
      <x:c r="C3" s="14" t="str">
        <x:v>Account; verified recipes; recipe detail; Cook Mode; timers; feedback; cooking memory</x:v>
      </x:c>
      <x:c r="D3" s="14" t="str">
        <x:v>P0 passed</x:v>
      </x:c>
      <x:c r="E3" s="14" t="str">
        <x:v>User đăng ký → chọn recipe → cook → feedback; không mất session; recipe data structured</x:v>
      </x:c>
      <x:c r="F3" s="14" t="str">
        <x:v>Activation; first cook; feedback completion</x:v>
      </x:c>
      <x:c r="G3" s="14" t="str">
        <x:v>2</x:v>
      </x:c>
    </x:row>
    <x:row r="4">
      <x:c r="A4" s="14" t="str">
        <x:v>P2 Personalization</x:v>
      </x:c>
      <x:c r="B4" s="14" t="str">
        <x:v>Chứng minh app học khẩu vị và cải thiện lần nấu sau</x:v>
      </x:c>
      <x:c r="C4" s="14" t="str">
        <x:v>Taste DNA; recipe adjustments; versions/diff; My Best Version; scaling guardrails</x:v>
      </x:c>
      <x:c r="D4" s="14" t="str">
        <x:v>P1 data loop available</x:v>
      </x:c>
      <x:c r="E4" s="14" t="str">
        <x:v>Taste update traceable; adjustments bounded; version compare/rollback works</x:v>
      </x:c>
      <x:c r="F4" s="14" t="str">
        <x:v>Accepted adjustment rate; repeat recipe score uplift</x:v>
      </x:c>
      <x:c r="G4" s="14" t="str">
        <x:v>3</x:v>
      </x:c>
    </x:row>
    <x:row r="5">
      <x:c r="A5" s="14" t="str">
        <x:v>P3 Household &amp; Planning</x:v>
      </x:c>
      <x:c r="B5" s="14" t="str">
        <x:v>Tối ưu bữa ăn cho gia đình và kế hoạch tuần/tháng</x:v>
      </x:c>
      <x:c r="C5" s="14" t="str">
        <x:v>Household; Family Taste; meal planner; lock/regenerate; Vietnamese meal structure</x:v>
      </x:c>
      <x:c r="D5" s="14" t="str">
        <x:v>P2 stable</x:v>
      </x:c>
      <x:c r="E5" s="14" t="str">
        <x:v>Allergy hard constraints; family split instructions; planner satisfies locked constraints</x:v>
      </x:c>
      <x:c r="F5" s="14" t="str">
        <x:v>Household adoption; plan reuse; conflict rate</x:v>
      </x:c>
      <x:c r="G5" s="14" t="str">
        <x:v>4</x:v>
      </x:c>
    </x:row>
    <x:row r="6">
      <x:c r="A6" s="14" t="str">
        <x:v>P4 Utility</x:v>
      </x:c>
      <x:c r="B6" s="14" t="str">
        <x:v>Giảm lãng phí và tăng frequency sử dụng</x:v>
      </x:c>
      <x:c r="C6" s="14" t="str">
        <x:v>Pantry; leftovers; shopping; budget; Rescue; substitutions</x:v>
      </x:c>
      <x:c r="D6" s="14" t="str">
        <x:v>P3 planning ready</x:v>
      </x:c>
      <x:c r="E6" s="14" t="str">
        <x:v>Inventory ledger consistent; rescue safe; shopping reflects pantry</x:v>
      </x:c>
      <x:c r="F6" s="14" t="str">
        <x:v>Pantry usage; waste proxy; rescue success</x:v>
      </x:c>
      <x:c r="G6" s="14" t="str">
        <x:v>5</x:v>
      </x:c>
    </x:row>
    <x:row r="7">
      <x:c r="A7" s="14" t="str">
        <x:v>P5 Discovery &amp; Social</x:v>
      </x:c>
      <x:c r="B7" s="14" t="str">
        <x:v>Tạo growth loop và community có utility</x:v>
      </x:c>
      <x:c r="C7" s="14" t="str">
        <x:v>Search; recommendations; Taste Match; feed; creator; fork; gamification; notifications</x:v>
      </x:c>
      <x:c r="D7" s="14" t="str">
        <x:v>Core utility stable + moderation baseline</x:v>
      </x:c>
      <x:c r="E7" s="14" t="str">
        <x:v>Feed/reco explainable; report/block works; social content traceable</x:v>
      </x:c>
      <x:c r="F7" s="14" t="str">
        <x:v>Save→cook; taste-match follow; creator activation</x:v>
      </x:c>
      <x:c r="G7" s="14" t="str">
        <x:v>6</x:v>
      </x:c>
    </x:row>
    <x:row r="8">
      <x:c r="A8" s="14" t="str">
        <x:v>P6 Business &amp; Growth</x:v>
      </x:c>
      <x:c r="B8" s="14" t="str">
        <x:v>Bật doanh thu và vận hành quy mô sản phẩm</x:v>
      </x:c>
      <x:c r="C8" s="14" t="str">
        <x:v>Subscription; entitlement; billing; admin/CMS; moderation; analytics; experiments; support</x:v>
      </x:c>
      <x:c r="D8" s="14" t="str">
        <x:v>Retention signal established</x:v>
      </x:c>
      <x:c r="E8" s="14" t="str">
        <x:v>Billing reconciles; entitlements server-side; admin audit; experiment guardrails</x:v>
      </x:c>
      <x:c r="F8" s="14" t="str">
        <x:v>Paid conversion; churn; ARPPU; support SLA</x:v>
      </x:c>
      <x:c r="G8" s="14" t="str">
        <x:v>7</x:v>
      </x:c>
    </x:row>
    <x:row r="9">
      <x:c r="A9" s="14" t="str">
        <x:v>P7 Production &amp; Native</x:v>
      </x:c>
      <x:c r="B9" s="14" t="str">
        <x:v>Hoàn thiện production scale và app native</x:v>
      </x:c>
      <x:c r="C9" s="14" t="str">
        <x:v>iOS/Android parity; privacy center; accessibility; performance; DR; store readiness</x:v>
      </x:c>
      <x:c r="D9" s="14" t="str">
        <x:v>Business model validated</x:v>
      </x:c>
      <x:c r="E9" s="14" t="str">
        <x:v>SLO/DR tests pass; privacy/export/delete; mobile store compliance</x:v>
      </x:c>
      <x:c r="F9" s="14" t="str">
        <x:v>Crash-free; p95 latency; availability; store rating</x:v>
      </x:c>
      <x:c r="G9" s="14" t="str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91d0eaccd57d47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4" hidden="0" customWidth="1"/>
    <x:col min="4" max="4" width="60" hidden="0" customWidth="1"/>
    <x:col min="5" max="5" width="12" hidden="0" customWidth="1"/>
    <x:col min="6" max="6" width="40" hidden="0" customWidth="1"/>
    <x:col min="7" max="7" width="30" hidden="0" customWidth="1"/>
    <x:col min="8" max="8" width="16" hidden="0" customWidth="1"/>
  </x:cols>
  <x:sheetData>
    <x:row r="1">
      <x:c r="A1" s="6" t="str">
        <x:v>Requirement ID</x:v>
      </x:c>
      <x:c r="B1" s="6" t="str">
        <x:v>Type</x:v>
      </x:c>
      <x:c r="C1" s="6" t="str">
        <x:v>Domain</x:v>
      </x:c>
      <x:c r="D1" s="6" t="str">
        <x:v>Requirement</x:v>
      </x:c>
      <x:c r="E1" s="6" t="str">
        <x:v>Priority</x:v>
      </x:c>
      <x:c r="F1" s="6" t="str">
        <x:v>Acceptance / Rule</x:v>
      </x:c>
      <x:c r="G1" s="6" t="str">
        <x:v>Mapped Backlog ID</x:v>
      </x:c>
      <x:c r="H1" s="6" t="str">
        <x:v>Coverage Status</x:v>
      </x:c>
    </x:row>
    <x:row r="2">
      <x:c r="A2" s="14" t="str">
        <x:v>FR-ACC-001</x:v>
      </x:c>
      <x:c r="B2" s="14" t="str">
        <x:v>FR</x:v>
      </x:c>
      <x:c r="C2" s="14" t="str">
        <x:v>ACC</x:v>
      </x:c>
      <x:c r="D2" s="14" t="str">
        <x:v>Đăng ký/đăng nhập bằng email, số điện thoại và social login; hỗ trợ guest mode giới hạn.</x:v>
      </x:c>
      <x:c r="E2" s="14" t="str">
        <x:v>Must</x:v>
      </x:c>
      <x:c r="F2" s="14" t="str">
        <x:v>Không tạo duplicate identity; có cơ chế link account.</x:v>
      </x:c>
      <x:c r="G2" s="14" t="str">
        <x:v>BN-P1-001</x:v>
      </x:c>
      <x:c r="H2" s="14" t="str">
        <x:v>Mapped</x:v>
      </x:c>
    </x:row>
    <x:row r="3">
      <x:c r="A3" s="14" t="str">
        <x:v>FR-ACC-002</x:v>
      </x:c>
      <x:c r="B3" s="14" t="str">
        <x:v>FR</x:v>
      </x:c>
      <x:c r="C3" s="14" t="str">
        <x:v>ACC</x:v>
      </x:c>
      <x:c r="D3" s="14" t="str">
        <x:v>Onboarding thu thập mục tiêu nấu ăn, số người, vùng miền, mức kỹ năng, dụng cụ bếp, thời gian và budget.</x:v>
      </x:c>
      <x:c r="E3" s="14" t="str">
        <x:v>Must</x:v>
      </x:c>
      <x:c r="F3" s="14" t="str">
        <x:v>Có thể skip từng phần; chỉnh lại sau.</x:v>
      </x:c>
      <x:c r="G3" s="14" t="str">
        <x:v>BN-P1-002</x:v>
      </x:c>
      <x:c r="H3" s="14" t="str">
        <x:v>Mapped</x:v>
      </x:c>
    </x:row>
    <x:row r="4">
      <x:c r="A4" s="14" t="str">
        <x:v>FR-ACC-003</x:v>
      </x:c>
      <x:c r="B4" s="14" t="str">
        <x:v>FR</x:v>
      </x:c>
      <x:c r="C4" s="14" t="str">
        <x:v>ACC</x:v>
      </x:c>
      <x:c r="D4" s="14" t="str">
        <x:v>Hồ sơ lưu ngôn ngữ, đơn vị đo, chế độ ăn, dị ứng, nguyên liệu tránh, lịch sử và privacy settings.</x:v>
      </x:c>
      <x:c r="E4" s="14" t="str">
        <x:v>Must</x:v>
      </x:c>
      <x:c r="F4" s="14" t="str">
        <x:v>Dị ứng được ưu tiên hơn mọi recommendation.</x:v>
      </x:c>
      <x:c r="G4" s="14" t="str">
        <x:v>BN-P1-003</x:v>
      </x:c>
      <x:c r="H4" s="14" t="str">
        <x:v>Mapped</x:v>
      </x:c>
    </x:row>
    <x:row r="5">
      <x:c r="A5" s="14" t="str">
        <x:v>FR-ACC-004</x:v>
      </x:c>
      <x:c r="B5" s="14" t="str">
        <x:v>FR</x:v>
      </x:c>
      <x:c r="C5" s="14" t="str">
        <x:v>ACC</x:v>
      </x:c>
      <x:c r="D5" s="14" t="str">
        <x:v>Cho phép export dữ liệu, xóa tài khoản, vô hiệu hóa tài khoản và tải bản sao dữ liệu.</x:v>
      </x:c>
      <x:c r="E5" s="14" t="str">
        <x:v>Must</x:v>
      </x:c>
      <x:c r="F5" s="14" t="str">
        <x:v>Tuân thủ chính sách retention/erasure.</x:v>
      </x:c>
      <x:c r="G5" s="14" t="str">
        <x:v>BN-P1-004</x:v>
      </x:c>
      <x:c r="H5" s="14" t="str">
        <x:v>Mapped</x:v>
      </x:c>
    </x:row>
    <x:row r="6">
      <x:c r="A6" s="14" t="str">
        <x:v>FR-ACC-005</x:v>
      </x:c>
      <x:c r="B6" s="14" t="str">
        <x:v>FR</x:v>
      </x:c>
      <x:c r="C6" s="14" t="str">
        <x:v>ACC</x:v>
      </x:c>
      <x:c r="D6" s="14" t="str">
        <x:v>Hỗ trợ nhiều thiết bị, đồng bộ session và revoke thiết bị.</x:v>
      </x:c>
      <x:c r="E6" s="14" t="str">
        <x:v>Should</x:v>
      </x:c>
      <x:c r="F6" s="14" t="str">
        <x:v>Hiển thị lịch sử đăng nhập bất thường.</x:v>
      </x:c>
      <x:c r="G6" s="14" t="str">
        <x:v>BN-P1-005</x:v>
      </x:c>
      <x:c r="H6" s="14" t="str">
        <x:v>Mapped</x:v>
      </x:c>
    </x:row>
    <x:row r="7">
      <x:c r="A7" s="14" t="str">
        <x:v>FR-TASTE-001</x:v>
      </x:c>
      <x:c r="B7" s="14" t="str">
        <x:v>FR</x:v>
      </x:c>
      <x:c r="C7" s="14" t="str">
        <x:v>TASTE</x:v>
      </x:c>
      <x:c r="D7" s="14" t="str">
        <x:v>Duy trì Taste DNA theo nhiều chiều: mặn, ngọt, chua, cay, umami, béo, đắng, độ mềm/giòn, độ khô/nước, hành/tỏi, mùi thảo mộc.</x:v>
      </x:c>
      <x:c r="E7" s="14" t="str">
        <x:v>Must</x:v>
      </x:c>
      <x:c r="F7" s="14" t="str">
        <x:v>Mỗi dimension có score + confidence + sample count.</x:v>
      </x:c>
      <x:c r="G7" s="14" t="str">
        <x:v>BN-P2-006</x:v>
      </x:c>
      <x:c r="H7" s="14" t="str">
        <x:v>Mapped</x:v>
      </x:c>
    </x:row>
    <x:row r="8">
      <x:c r="A8" s="14" t="str">
        <x:v>FR-TASTE-002</x:v>
      </x:c>
      <x:c r="B8" s="14" t="str">
        <x:v>FR</x:v>
      </x:c>
      <x:c r="C8" s="14" t="str">
        <x:v>TASTE</x:v>
      </x:c>
      <x:c r="D8" s="14" t="str">
        <x:v>Taste DNA phải học từ onboarding, rating, post-cook feedback, thao tác chỉnh recipe và hành vi lựa chọn.</x:v>
      </x:c>
      <x:c r="E8" s="14" t="str">
        <x:v>Must</x:v>
      </x:c>
      <x:c r="F8" s="14" t="str">
        <x:v>Nguồn tín hiệu có trọng số khác nhau.</x:v>
      </x:c>
      <x:c r="G8" s="14" t="str">
        <x:v>BN-P2-007</x:v>
      </x:c>
      <x:c r="H8" s="14" t="str">
        <x:v>Mapped</x:v>
      </x:c>
    </x:row>
    <x:row r="9">
      <x:c r="A9" s="14" t="str">
        <x:v>FR-TASTE-003</x:v>
      </x:c>
      <x:c r="B9" s="14" t="str">
        <x:v>FR</x:v>
      </x:c>
      <x:c r="C9" s="14" t="str">
        <x:v>TASTE</x:v>
      </x:c>
      <x:c r="D9" s="14" t="str">
        <x:v>Cho phép preference toàn cục, theo nhóm món, theo nguyên liệu và theo recipe cụ thể.</x:v>
      </x:c>
      <x:c r="E9" s="14" t="str">
        <x:v>Must</x:v>
      </x:c>
      <x:c r="F9" s="14" t="str">
        <x:v>Context-specific preference override global.</x:v>
      </x:c>
      <x:c r="G9" s="14" t="str">
        <x:v>BN-P2-008</x:v>
      </x:c>
      <x:c r="H9" s="14" t="str">
        <x:v>Mapped</x:v>
      </x:c>
    </x:row>
    <x:row r="10">
      <x:c r="A10" s="14" t="str">
        <x:v>FR-TASTE-004</x:v>
      </x:c>
      <x:c r="B10" s="14" t="str">
        <x:v>FR</x:v>
      </x:c>
      <x:c r="C10" s="14" t="str">
        <x:v>TASTE</x:v>
      </x:c>
      <x:c r="D10" s="14" t="str">
        <x:v>Hiển thị Taste DNA theo cách dễ hiểu và cho phép user chỉnh thủ công.</x:v>
      </x:c>
      <x:c r="E10" s="14" t="str">
        <x:v>Should</x:v>
      </x:c>
      <x:c r="F10" s="14" t="str">
        <x:v>Manual edit được audit và giảm confidence tạm thời.</x:v>
      </x:c>
      <x:c r="G10" s="14" t="str">
        <x:v>BN-P2-009</x:v>
      </x:c>
      <x:c r="H10" s="14" t="str">
        <x:v>Mapped</x:v>
      </x:c>
    </x:row>
    <x:row r="11">
      <x:c r="A11" s="14" t="str">
        <x:v>FR-TASTE-005</x:v>
      </x:c>
      <x:c r="B11" s="14" t="str">
        <x:v>FR</x:v>
      </x:c>
      <x:c r="C11" s="14" t="str">
        <x:v>TASTE</x:v>
      </x:c>
      <x:c r="D11" s="14" t="str">
        <x:v>Cho phép reset một dimension hoặc toàn bộ Taste DNA mà không xóa lịch sử cook.</x:v>
      </x:c>
      <x:c r="E11" s="14" t="str">
        <x:v>Could</x:v>
      </x:c>
      <x:c r="F11" s="14" t="str">
        <x:v>Có cảnh báo hậu quả personalization.</x:v>
      </x:c>
      <x:c r="G11" s="14" t="str">
        <x:v>BN-P2-010</x:v>
      </x:c>
      <x:c r="H11" s="14" t="str">
        <x:v>Mapped</x:v>
      </x:c>
    </x:row>
    <x:row r="12">
      <x:c r="A12" s="14" t="str">
        <x:v>FR-HH-001</x:v>
      </x:c>
      <x:c r="B12" s="14" t="str">
        <x:v>FR</x:v>
      </x:c>
      <x:c r="C12" s="14" t="str">
        <x:v>HH</x:v>
      </x:c>
      <x:c r="D12" s="14" t="str">
        <x:v>Tạo household, mời thành viên, guest profile và child profile.</x:v>
      </x:c>
      <x:c r="E12" s="14" t="str">
        <x:v>Must</x:v>
      </x:c>
      <x:c r="F12" s="14" t="str">
        <x:v>Role Owner/Admin/Member/Guest.</x:v>
      </x:c>
      <x:c r="G12" s="14" t="str">
        <x:v>BN-P3-011</x:v>
      </x:c>
      <x:c r="H12" s="14" t="str">
        <x:v>Mapped</x:v>
      </x:c>
    </x:row>
    <x:row r="13">
      <x:c r="A13" s="14" t="str">
        <x:v>FR-HH-002</x:v>
      </x:c>
      <x:c r="B13" s="14" t="str">
        <x:v>FR</x:v>
      </x:c>
      <x:c r="C13" s="14" t="str">
        <x:v>HH</x:v>
      </x:c>
      <x:c r="D13" s="14" t="str">
        <x:v>Mỗi thành viên có Taste DNA, allergy/diet và serving size riêng.</x:v>
      </x:c>
      <x:c r="E13" s="14" t="str">
        <x:v>Must</x:v>
      </x:c>
      <x:c r="F13" s="14" t="str">
        <x:v>Không gộp dữ liệu cá nhân ngoài consent.</x:v>
      </x:c>
      <x:c r="G13" s="14" t="str">
        <x:v>BN-P3-012</x:v>
      </x:c>
      <x:c r="H13" s="14" t="str">
        <x:v>Mapped</x:v>
      </x:c>
    </x:row>
    <x:row r="14">
      <x:c r="A14" s="14" t="str">
        <x:v>FR-HH-003</x:v>
      </x:c>
      <x:c r="B14" s="14" t="str">
        <x:v>FR</x:v>
      </x:c>
      <x:c r="C14" s="14" t="str">
        <x:v>HH</x:v>
      </x:c>
      <x:c r="D14" s="14" t="str">
        <x:v>Family Taste Engine đề xuất công thức dung hòa và hướng dẫn tách phần khi preference xung đột.</x:v>
      </x:c>
      <x:c r="E14" s="14" t="str">
        <x:v>Must</x:v>
      </x:c>
      <x:c r="F14" s="14" t="str">
        <x:v>Allergy luôn là hard constraint.</x:v>
      </x:c>
      <x:c r="G14" s="14" t="str">
        <x:v>BN-P3-013</x:v>
      </x:c>
      <x:c r="H14" s="14" t="str">
        <x:v>Mapped</x:v>
      </x:c>
    </x:row>
    <x:row r="15">
      <x:c r="A15" s="14" t="str">
        <x:v>FR-HH-004</x:v>
      </x:c>
      <x:c r="B15" s="14" t="str">
        <x:v>FR</x:v>
      </x:c>
      <x:c r="C15" s="14" t="str">
        <x:v>HH</x:v>
      </x:c>
      <x:c r="D15" s="14" t="str">
        <x:v>Meal plan, pantry, shopping list có thể dùng chung household và đồng bộ real time.</x:v>
      </x:c>
      <x:c r="E15" s="14" t="str">
        <x:v>Must</x:v>
      </x:c>
      <x:c r="F15" s="14" t="str">
        <x:v>Conflict merge có versioning.</x:v>
      </x:c>
      <x:c r="G15" s="14" t="str">
        <x:v>BN-P3-014</x:v>
      </x:c>
      <x:c r="H15" s="14" t="str">
        <x:v>Mapped</x:v>
      </x:c>
    </x:row>
    <x:row r="16">
      <x:c r="A16" s="14" t="str">
        <x:v>FR-HH-005</x:v>
      </x:c>
      <x:c r="B16" s="14" t="str">
        <x:v>FR</x:v>
      </x:c>
      <x:c r="C16" s="14" t="str">
        <x:v>HH</x:v>
      </x:c>
      <x:c r="D16" s="14" t="str">
        <x:v>Cho phép lưu “ai ăn bữa này” để recommendation theo đúng nhóm người.</x:v>
      </x:c>
      <x:c r="E16" s="14" t="str">
        <x:v>Should</x:v>
      </x:c>
      <x:c r="F16" s="14" t="str">
        <x:v>Có preset: cả nhà, hai người, trẻ em...</x:v>
      </x:c>
      <x:c r="G16" s="14" t="str">
        <x:v>BN-P3-015</x:v>
      </x:c>
      <x:c r="H16" s="14" t="str">
        <x:v>Mapped</x:v>
      </x:c>
    </x:row>
    <x:row r="17">
      <x:c r="A17" s="14" t="str">
        <x:v>FR-REC-001</x:v>
      </x:c>
      <x:c r="B17" s="14" t="str">
        <x:v>FR</x:v>
      </x:c>
      <x:c r="C17" s="14" t="str">
        <x:v>REC</x:v>
      </x:c>
      <x:c r="D17" s="14" t="str">
        <x:v>Recipe lưu cấu trúc định lượng: ingredient canonical, quantity, unit, preparation, substitution, step, heat, duration, serving.</x:v>
      </x:c>
      <x:c r="E17" s="14" t="str">
        <x:v>Must</x:v>
      </x:c>
      <x:c r="F17" s="14" t="str">
        <x:v>Không dùng “vừa đủ” làm dữ liệu duy nhất cho gia vị chính.</x:v>
      </x:c>
      <x:c r="G17" s="14" t="str">
        <x:v>BN-P1-016</x:v>
      </x:c>
      <x:c r="H17" s="14" t="str">
        <x:v>Mapped</x:v>
      </x:c>
    </x:row>
    <x:row r="18">
      <x:c r="A18" s="14" t="str">
        <x:v>FR-REC-002</x:v>
      </x:c>
      <x:c r="B18" s="14" t="str">
        <x:v>FR</x:v>
      </x:c>
      <x:c r="C18" s="14" t="str">
        <x:v>REC</x:v>
      </x:c>
      <x:c r="D18" s="14" t="str">
        <x:v>Phân loại món theo vùng miền, bữa ăn, kỹ thuật, nguyên liệu, mùa, độ khó, thời gian và chi phí.</x:v>
      </x:c>
      <x:c r="E18" s="14" t="str">
        <x:v>Must</x:v>
      </x:c>
      <x:c r="F18" s="14" t="str">
        <x:v>Taxonomy quản trị qua CMS.</x:v>
      </x:c>
      <x:c r="G18" s="14" t="str">
        <x:v>BN-P1-017</x:v>
      </x:c>
      <x:c r="H18" s="14" t="str">
        <x:v>Mapped</x:v>
      </x:c>
    </x:row>
    <x:row r="19">
      <x:c r="A19" s="14" t="str">
        <x:v>FR-REC-003</x:v>
      </x:c>
      <x:c r="B19" s="14" t="str">
        <x:v>FR</x:v>
      </x:c>
      <x:c r="C19" s="14" t="str">
        <x:v>REC</x:v>
      </x:c>
      <x:c r="D19" s="14" t="str">
        <x:v>Mỗi recipe có source/provenance, reviewer, trạng thái draft/verified/published/deprecated.</x:v>
      </x:c>
      <x:c r="E19" s="14" t="str">
        <x:v>Must</x:v>
      </x:c>
      <x:c r="F19" s="14" t="str">
        <x:v>Verified recipe có lịch sử review.</x:v>
      </x:c>
      <x:c r="G19" s="14" t="str">
        <x:v>BN-P1-018</x:v>
      </x:c>
      <x:c r="H19" s="14" t="str">
        <x:v>Mapped</x:v>
      </x:c>
    </x:row>
    <x:row r="20">
      <x:c r="A20" s="14" t="str">
        <x:v>FR-REC-004</x:v>
      </x:c>
      <x:c r="B20" s="14" t="str">
        <x:v>FR</x:v>
      </x:c>
      <x:c r="C20" s="14" t="str">
        <x:v>REC</x:v>
      </x:c>
      <x:c r="D20" s="14" t="str">
        <x:v>Hỗ trợ ảnh, video ngắn, step image, nutrition optional và equipment.</x:v>
      </x:c>
      <x:c r="E20" s="14" t="str">
        <x:v>Should</x:v>
      </x:c>
      <x:c r="F20" s="14" t="str">
        <x:v>Media có moderation/licensing metadata.</x:v>
      </x:c>
      <x:c r="G20" s="14" t="str">
        <x:v>BN-P1-019</x:v>
      </x:c>
      <x:c r="H20" s="14" t="str">
        <x:v>Mapped</x:v>
      </x:c>
    </x:row>
    <x:row r="21">
      <x:c r="A21" s="14" t="str">
        <x:v>FR-REC-005</x:v>
      </x:c>
      <x:c r="B21" s="14" t="str">
        <x:v>FR</x:v>
      </x:c>
      <x:c r="C21" s="14" t="str">
        <x:v>REC</x:v>
      </x:c>
      <x:c r="D21" s="14" t="str">
        <x:v>Hỗ trợ biến thể Bắc/Trung/Nam/gia đình nhưng vẫn giữ lineage của món gốc.</x:v>
      </x:c>
      <x:c r="E21" s="14" t="str">
        <x:v>Should</x:v>
      </x:c>
      <x:c r="F21" s="14" t="str">
        <x:v>Không overwrite recipe verified gốc.</x:v>
      </x:c>
      <x:c r="G21" s="14" t="str">
        <x:v>BN-P1-020</x:v>
      </x:c>
      <x:c r="H21" s="14" t="str">
        <x:v>Mapped</x:v>
      </x:c>
    </x:row>
    <x:row r="22">
      <x:c r="A22" s="14" t="str">
        <x:v>FR-REC-006</x:v>
      </x:c>
      <x:c r="B22" s="14" t="str">
        <x:v>FR</x:v>
      </x:c>
      <x:c r="C22" s="14" t="str">
        <x:v>REC</x:v>
      </x:c>
      <x:c r="D22" s="14" t="str">
        <x:v>Creator/user có thể submit recipe để review hoặc public theo policy.</x:v>
      </x:c>
      <x:c r="E22" s="14" t="str">
        <x:v>Should</x:v>
      </x:c>
      <x:c r="F22" s="14" t="str">
        <x:v>Nội dung community gắn nhãn nguồn rõ ràng.</x:v>
      </x:c>
      <x:c r="G22" s="14" t="str">
        <x:v>BN-P1-021</x:v>
      </x:c>
      <x:c r="H22" s="14" t="str">
        <x:v>Mapped</x:v>
      </x:c>
    </x:row>
    <x:row r="23">
      <x:c r="A23" s="14" t="str">
        <x:v>FR-EVO-001</x:v>
      </x:c>
      <x:c r="B23" s="14" t="str">
        <x:v>FR</x:v>
      </x:c>
      <x:c r="C23" s="14" t="str">
        <x:v>EVO</x:v>
      </x:c>
      <x:c r="D23" s="14" t="str">
        <x:v>Sinh bản recipe cá nhân dựa trên Taste DNA, serving, household, diet, equipment và history.</x:v>
      </x:c>
      <x:c r="E23" s="14" t="str">
        <x:v>Must</x:v>
      </x:c>
      <x:c r="F23" s="14" t="str">
        <x:v>Luôn hiển thị các thay đổi so với bản chuẩn.</x:v>
      </x:c>
      <x:c r="G23" s="14" t="str">
        <x:v>BN-P2-022</x:v>
      </x:c>
      <x:c r="H23" s="14" t="str">
        <x:v>Mapped</x:v>
      </x:c>
    </x:row>
    <x:row r="24">
      <x:c r="A24" s="14" t="str">
        <x:v>FR-EVO-002</x:v>
      </x:c>
      <x:c r="B24" s="14" t="str">
        <x:v>FR</x:v>
      </x:c>
      <x:c r="C24" s="14" t="str">
        <x:v>EVO</x:v>
      </x:c>
      <x:c r="D24" s="14" t="str">
        <x:v>Sau cook feedback, tạo version V2/V3... với diff định lượng, lý do và confidence.</x:v>
      </x:c>
      <x:c r="E24" s="14" t="str">
        <x:v>Must</x:v>
      </x:c>
      <x:c r="F24" s="14" t="str">
        <x:v>Không thay đổi silent; user có thể accept/reject.</x:v>
      </x:c>
      <x:c r="G24" s="14" t="str">
        <x:v>BN-P2-023</x:v>
      </x:c>
      <x:c r="H24" s="14" t="str">
        <x:v>Mapped</x:v>
      </x:c>
    </x:row>
    <x:row r="25">
      <x:c r="A25" s="14" t="str">
        <x:v>FR-EVO-003</x:v>
      </x:c>
      <x:c r="B25" s="14" t="str">
        <x:v>FR</x:v>
      </x:c>
      <x:c r="C25" s="14" t="str">
        <x:v>EVO</x:v>
      </x:c>
      <x:c r="D25" s="14" t="str">
        <x:v>User có thể pin một version làm “My Best Version”, rollback hoặc compare 2 versions.</x:v>
      </x:c>
      <x:c r="E25" s="14" t="str">
        <x:v>Must</x:v>
      </x:c>
      <x:c r="F25" s="14" t="str">
        <x:v>Lineage không bị mất.</x:v>
      </x:c>
      <x:c r="G25" s="14" t="str">
        <x:v>BN-P2-024</x:v>
      </x:c>
      <x:c r="H25" s="14" t="str">
        <x:v>Mapped</x:v>
      </x:c>
    </x:row>
    <x:row r="26">
      <x:c r="A26" s="14" t="str">
        <x:v>FR-EVO-004</x:v>
      </x:c>
      <x:c r="B26" s="14" t="str">
        <x:v>FR</x:v>
      </x:c>
      <x:c r="C26" s="14" t="str">
        <x:v>EVO</x:v>
      </x:c>
      <x:c r="D26" s="14" t="str">
        <x:v>Recipe Fork: fork recipe của creator/user khác thành nhánh riêng và giữ attribution.</x:v>
      </x:c>
      <x:c r="E26" s="14" t="str">
        <x:v>Should</x:v>
      </x:c>
      <x:c r="F26" s="14" t="str">
        <x:v>Có source chain và license rules.</x:v>
      </x:c>
      <x:c r="G26" s="14" t="str">
        <x:v>BN-P2-025</x:v>
      </x:c>
      <x:c r="H26" s="14" t="str">
        <x:v>Mapped</x:v>
      </x:c>
    </x:row>
    <x:row r="27">
      <x:c r="A27" s="14" t="str">
        <x:v>FR-EVO-005</x:v>
      </x:c>
      <x:c r="B27" s="14" t="str">
        <x:v>FR</x:v>
      </x:c>
      <x:c r="C27" s="14" t="str">
        <x:v>EVO</x:v>
      </x:c>
      <x:c r="D27" s="14" t="str">
        <x:v>Tự động scale recipe theo serving nhưng giữ ratio/constraint đặc thù.</x:v>
      </x:c>
      <x:c r="E27" s="14" t="str">
        <x:v>Must</x:v>
      </x:c>
      <x:c r="F27" s="14" t="str">
        <x:v>Có rounding rule theo unit/ingredient.</x:v>
      </x:c>
      <x:c r="G27" s="14" t="str">
        <x:v>BN-P2-026</x:v>
      </x:c>
      <x:c r="H27" s="14" t="str">
        <x:v>Mapped</x:v>
      </x:c>
    </x:row>
    <x:row r="28">
      <x:c r="A28" s="14" t="str">
        <x:v>FR-EVO-006</x:v>
      </x:c>
      <x:c r="B28" s="14" t="str">
        <x:v>FR</x:v>
      </x:c>
      <x:c r="C28" s="14" t="str">
        <x:v>EVO</x:v>
      </x:c>
      <x:c r="D28" s="14" t="str">
        <x:v>Không tự thay đổi ingredient liên quan dị ứng/an toàn nếu không có xác nhận.</x:v>
      </x:c>
      <x:c r="E28" s="14" t="str">
        <x:v>Must</x:v>
      </x:c>
      <x:c r="F28" s="14" t="str">
        <x:v>Safety constraint hard-coded.</x:v>
      </x:c>
      <x:c r="G28" s="14" t="str">
        <x:v>BN-P2-027</x:v>
      </x:c>
      <x:c r="H28" s="14" t="str">
        <x:v>Mapped</x:v>
      </x:c>
    </x:row>
    <x:row r="29">
      <x:c r="A29" s="14" t="str">
        <x:v>FR-COOK-001</x:v>
      </x:c>
      <x:c r="B29" s="14" t="str">
        <x:v>FR</x:v>
      </x:c>
      <x:c r="C29" s="14" t="str">
        <x:v>COOK</x:v>
      </x:c>
      <x:c r="D29" s="14" t="str">
        <x:v>Cook Mode hiển thị từng bước lớn, ingredient tại bước, timer, nhiệt độ và progress.</x:v>
      </x:c>
      <x:c r="E29" s="14" t="str">
        <x:v>Must</x:v>
      </x:c>
      <x:c r="F29" s="14" t="str">
        <x:v>Screen-awake optional; font lớn.</x:v>
      </x:c>
      <x:c r="G29" s="14" t="str">
        <x:v>BN-P1-028</x:v>
      </x:c>
      <x:c r="H29" s="14" t="str">
        <x:v>Mapped</x:v>
      </x:c>
    </x:row>
    <x:row r="30">
      <x:c r="A30" s="14" t="str">
        <x:v>FR-COOK-002</x:v>
      </x:c>
      <x:c r="B30" s="14" t="str">
        <x:v>FR</x:v>
      </x:c>
      <x:c r="C30" s="14" t="str">
        <x:v>COOK</x:v>
      </x:c>
      <x:c r="D30" s="14" t="str">
        <x:v>Voice/hands-free command: tiếp theo, quay lại, đặt timer, đọc lại, còn bao lâu, đổi khẩu phần.</x:v>
      </x:c>
      <x:c r="E30" s="14" t="str">
        <x:v>Should</x:v>
      </x:c>
      <x:c r="F30" s="14" t="str">
        <x:v>Không yêu cầu chạm màn hình trong luồng chính.</x:v>
      </x:c>
      <x:c r="G30" s="14" t="str">
        <x:v>BN-P1-029</x:v>
      </x:c>
      <x:c r="H30" s="14" t="str">
        <x:v>Mapped</x:v>
      </x:c>
    </x:row>
    <x:row r="31">
      <x:c r="A31" s="14" t="str">
        <x:v>FR-COOK-003</x:v>
      </x:c>
      <x:c r="B31" s="14" t="str">
        <x:v>FR</x:v>
      </x:c>
      <x:c r="C31" s="14" t="str">
        <x:v>COOK</x:v>
      </x:c>
      <x:c r="D31" s="14" t="str">
        <x:v>Hỗ trợ nhiều timer đồng thời, background notification và resume session.</x:v>
      </x:c>
      <x:c r="E31" s="14" t="str">
        <x:v>Must</x:v>
      </x:c>
      <x:c r="F31" s="14" t="str">
        <x:v>Không mất timer khi app background/crash.</x:v>
      </x:c>
      <x:c r="G31" s="14" t="str">
        <x:v>BN-P1-030</x:v>
      </x:c>
      <x:c r="H31" s="14" t="str">
        <x:v>Mapped</x:v>
      </x:c>
    </x:row>
    <x:row r="32">
      <x:c r="A32" s="14" t="str">
        <x:v>FR-COOK-004</x:v>
      </x:c>
      <x:c r="B32" s="14" t="str">
        <x:v>FR</x:v>
      </x:c>
      <x:c r="C32" s="14" t="str">
        <x:v>COOK</x:v>
      </x:c>
      <x:c r="D32" s="14" t="str">
        <x:v>Cho phép log thay thế nguyên liệu, quantity thực tế, thời gian thực tế và deviation ngay khi nấu.</x:v>
      </x:c>
      <x:c r="E32" s="14" t="str">
        <x:v>Should</x:v>
      </x:c>
      <x:c r="F32" s="14" t="str">
        <x:v>Dữ liệu dùng cho diagnosis/learning.</x:v>
      </x:c>
      <x:c r="G32" s="14" t="str">
        <x:v>BN-P1-031</x:v>
      </x:c>
      <x:c r="H32" s="14" t="str">
        <x:v>Mapped</x:v>
      </x:c>
    </x:row>
    <x:row r="33">
      <x:c r="A33" s="14" t="str">
        <x:v>FR-COOK-005</x:v>
      </x:c>
      <x:c r="B33" s="14" t="str">
        <x:v>FR</x:v>
      </x:c>
      <x:c r="C33" s="14" t="str">
        <x:v>COOK</x:v>
      </x:c>
      <x:c r="D33" s="14" t="str">
        <x:v>Offline cooking cache cho recipe đã mở/lưu.</x:v>
      </x:c>
      <x:c r="E33" s="14" t="str">
        <x:v>Should</x:v>
      </x:c>
      <x:c r="F33" s="14" t="str">
        <x:v>Feedback sync lại khi có mạng.</x:v>
      </x:c>
      <x:c r="G33" s="14" t="str">
        <x:v>BN-P1-032</x:v>
      </x:c>
      <x:c r="H33" s="14" t="str">
        <x:v>Mapped</x:v>
      </x:c>
    </x:row>
    <x:row r="34">
      <x:c r="A34" s="14" t="str">
        <x:v>FR-COOK-006</x:v>
      </x:c>
      <x:c r="B34" s="14" t="str">
        <x:v>FR</x:v>
      </x:c>
      <x:c r="C34" s="14" t="str">
        <x:v>COOK</x:v>
      </x:c>
      <x:c r="D34" s="14" t="str">
        <x:v>Camera optional để ghi ảnh trước/sau và gắn vào cook history.</x:v>
      </x:c>
      <x:c r="E34" s="14" t="str">
        <x:v>Could</x:v>
      </x:c>
      <x:c r="F34" s="14" t="str">
        <x:v>Media privacy mặc định private.</x:v>
      </x:c>
      <x:c r="G34" s="14" t="str">
        <x:v>BN-P1-033</x:v>
      </x:c>
      <x:c r="H34" s="14" t="str">
        <x:v>Mapped</x:v>
      </x:c>
    </x:row>
    <x:row r="35">
      <x:c r="A35" s="14" t="str">
        <x:v>FR-FB-001</x:v>
      </x:c>
      <x:c r="B35" s="14" t="str">
        <x:v>FR</x:v>
      </x:c>
      <x:c r="C35" s="14" t="str">
        <x:v>FB</x:v>
      </x:c>
      <x:c r="D35" s="14" t="str">
        <x:v>Feedback nhanh sau bữa: mặn/ngọt/chua/cay/béo/texture/nước + overall score.</x:v>
      </x:c>
      <x:c r="E35" s="14" t="str">
        <x:v>Must</x:v>
      </x:c>
      <x:c r="F35" s="14" t="str">
        <x:v>Hoàn thành &lt;= 10 giây.</x:v>
      </x:c>
      <x:c r="G35" s="14" t="str">
        <x:v>BN-P1-034</x:v>
      </x:c>
      <x:c r="H35" s="14" t="str">
        <x:v>Mapped</x:v>
      </x:c>
    </x:row>
    <x:row r="36">
      <x:c r="A36" s="14" t="str">
        <x:v>FR-FB-002</x:v>
      </x:c>
      <x:c r="B36" s="14" t="str">
        <x:v>FR</x:v>
      </x:c>
      <x:c r="C36" s="14" t="str">
        <x:v>FB</x:v>
      </x:c>
      <x:c r="D36" s="14" t="str">
        <x:v>Cho phép free-text note, voice note và ghi chú riêng tư.</x:v>
      </x:c>
      <x:c r="E36" s="14" t="str">
        <x:v>Should</x:v>
      </x:c>
      <x:c r="F36" s="14" t="str">
        <x:v>Private by default.</x:v>
      </x:c>
      <x:c r="G36" s="14" t="str">
        <x:v>BN-P1-035</x:v>
      </x:c>
      <x:c r="H36" s="14" t="str">
        <x:v>Mapped</x:v>
      </x:c>
    </x:row>
    <x:row r="37">
      <x:c r="A37" s="14" t="str">
        <x:v>FR-FB-003</x:v>
      </x:c>
      <x:c r="B37" s="14" t="str">
        <x:v>FR</x:v>
      </x:c>
      <x:c r="C37" s="14" t="str">
        <x:v>FB</x:v>
      </x:c>
      <x:c r="D37" s="14" t="str">
        <x:v>Cooking Memory lưu thời gian, household members, actual ingredients, feedback và ảnh.</x:v>
      </x:c>
      <x:c r="E37" s="14" t="str">
        <x:v>Must</x:v>
      </x:c>
      <x:c r="F37" s="14" t="str">
        <x:v>Có timeline theo món/ngày.</x:v>
      </x:c>
      <x:c r="G37" s="14" t="str">
        <x:v>BN-P1-036</x:v>
      </x:c>
      <x:c r="H37" s="14" t="str">
        <x:v>Mapped</x:v>
      </x:c>
    </x:row>
    <x:row r="38">
      <x:c r="A38" s="14" t="str">
        <x:v>FR-FB-004</x:v>
      </x:c>
      <x:c r="B38" s="14" t="str">
        <x:v>FR</x:v>
      </x:c>
      <x:c r="C38" s="14" t="str">
        <x:v>FB</x:v>
      </x:c>
      <x:c r="D38" s="14" t="str">
        <x:v>App phát hiện feedback mâu thuẫn/thiếu dữ liệu và hỏi follow-up tối thiểu.</x:v>
      </x:c>
      <x:c r="E38" s="14" t="str">
        <x:v>Should</x:v>
      </x:c>
      <x:c r="F38" s="14" t="str">
        <x:v>Không gây fatigue.</x:v>
      </x:c>
      <x:c r="G38" s="14" t="str">
        <x:v>BN-P1-037</x:v>
      </x:c>
      <x:c r="H38" s="14" t="str">
        <x:v>Mapped</x:v>
      </x:c>
    </x:row>
    <x:row r="39">
      <x:c r="A39" s="14" t="str">
        <x:v>FR-FB-005</x:v>
      </x:c>
      <x:c r="B39" s="14" t="str">
        <x:v>FR</x:v>
      </x:c>
      <x:c r="C39" s="14" t="str">
        <x:v>FB</x:v>
      </x:c>
      <x:c r="D39" s="14" t="str">
        <x:v>User có thể sửa feedback cũ; engine re-compute ảnh hưởng khi cần.</x:v>
      </x:c>
      <x:c r="E39" s="14" t="str">
        <x:v>Should</x:v>
      </x:c>
      <x:c r="F39" s="14" t="str">
        <x:v>Audit revision retained.</x:v>
      </x:c>
      <x:c r="G39" s="14" t="str">
        <x:v>BN-P1-038</x:v>
      </x:c>
      <x:c r="H39" s="14" t="str">
        <x:v>Mapped</x:v>
      </x:c>
    </x:row>
    <x:row r="40">
      <x:c r="A40" s="14" t="str">
        <x:v>FR-MEAL-001</x:v>
      </x:c>
      <x:c r="B40" s="14" t="str">
        <x:v>FR</x:v>
      </x:c>
      <x:c r="C40" s="14" t="str">
        <x:v>MEAL</x:v>
      </x:c>
      <x:c r="D40" s="14" t="str">
        <x:v>Sinh meal plan ngày/tuần/tháng theo household, budget, time, pantry, preference và lịch sử.</x:v>
      </x:c>
      <x:c r="E40" s="14" t="str">
        <x:v>Must</x:v>
      </x:c>
      <x:c r="F40" s="14" t="str">
        <x:v>Có regenerate từng bữa hoặc toàn plan.</x:v>
      </x:c>
      <x:c r="G40" s="14" t="str">
        <x:v>BN-P3-039</x:v>
      </x:c>
      <x:c r="H40" s="14" t="str">
        <x:v>Mapped</x:v>
      </x:c>
    </x:row>
    <x:row r="41">
      <x:c r="A41" s="14" t="str">
        <x:v>FR-MEAL-002</x:v>
      </x:c>
      <x:c r="B41" s="14" t="str">
        <x:v>FR</x:v>
      </x:c>
      <x:c r="C41" s="14" t="str">
        <x:v>MEAL</x:v>
      </x:c>
      <x:c r="D41" s="14" t="str">
        <x:v>Hiểu cấu trúc mâm cơm Việt: cơm + món mặn + rau + canh + món phụ/nước chấm.</x:v>
      </x:c>
      <x:c r="E41" s="14" t="str">
        <x:v>Must</x:v>
      </x:c>
      <x:c r="F41" s="14" t="str">
        <x:v>Tránh xung đột hương vị/kỹ thuật quá giống.</x:v>
      </x:c>
      <x:c r="G41" s="14" t="str">
        <x:v>BN-P3-040</x:v>
      </x:c>
      <x:c r="H41" s="14" t="str">
        <x:v>Mapped</x:v>
      </x:c>
    </x:row>
    <x:row r="42">
      <x:c r="A42" s="14" t="str">
        <x:v>FR-MEAL-003</x:v>
      </x:c>
      <x:c r="B42" s="14" t="str">
        <x:v>FR</x:v>
      </x:c>
      <x:c r="C42" s="14" t="str">
        <x:v>MEAL</x:v>
      </x:c>
      <x:c r="D42" s="14" t="str">
        <x:v>Cho phép khóa món/bữa/ngày và regenerate phần còn lại.</x:v>
      </x:c>
      <x:c r="E42" s="14" t="str">
        <x:v>Must</x:v>
      </x:c>
      <x:c r="F42" s="14" t="str">
        <x:v>Khóa không bị engine overwrite.</x:v>
      </x:c>
      <x:c r="G42" s="14" t="str">
        <x:v>BN-P3-041</x:v>
      </x:c>
      <x:c r="H42" s="14" t="str">
        <x:v>Mapped</x:v>
      </x:c>
    </x:row>
    <x:row r="43">
      <x:c r="A43" s="14" t="str">
        <x:v>FR-MEAL-004</x:v>
      </x:c>
      <x:c r="B43" s="14" t="str">
        <x:v>FR</x:v>
      </x:c>
      <x:c r="C43" s="14" t="str">
        <x:v>MEAL</x:v>
      </x:c>
      <x:c r="D43" s="14" t="str">
        <x:v>Tối ưu tái sử dụng nguyên liệu giữa các ngày để giảm lãng phí và số lần đi chợ.</x:v>
      </x:c>
      <x:c r="E43" s="14" t="str">
        <x:v>Must</x:v>
      </x:c>
      <x:c r="F43" s="14" t="str">
        <x:v>Có explanation về reuse.</x:v>
      </x:c>
      <x:c r="G43" s="14" t="str">
        <x:v>BN-P3-042</x:v>
      </x:c>
      <x:c r="H43" s="14" t="str">
        <x:v>Mapped</x:v>
      </x:c>
    </x:row>
    <x:row r="44">
      <x:c r="A44" s="14" t="str">
        <x:v>FR-MEAL-005</x:v>
      </x:c>
      <x:c r="B44" s="14" t="str">
        <x:v>FR</x:v>
      </x:c>
      <x:c r="C44" s="14" t="str">
        <x:v>MEAL</x:v>
      </x:c>
      <x:c r="D44" s="14" t="str">
        <x:v>Calendar view, drag-drop, meal template, recurring plan, ăn ngoài/skipped meal.</x:v>
      </x:c>
      <x:c r="E44" s="14" t="str">
        <x:v>Should</x:v>
      </x:c>
      <x:c r="F44" s="14" t="str">
        <x:v>Không tính shopping cho bữa ăn ngoài.</x:v>
      </x:c>
      <x:c r="G44" s="14" t="str">
        <x:v>BN-P3-043</x:v>
      </x:c>
      <x:c r="H44" s="14" t="str">
        <x:v>Mapped</x:v>
      </x:c>
    </x:row>
    <x:row r="45">
      <x:c r="A45" s="14" t="str">
        <x:v>FR-MEAL-006</x:v>
      </x:c>
      <x:c r="B45" s="14" t="str">
        <x:v>FR</x:v>
      </x:c>
      <x:c r="C45" s="14" t="str">
        <x:v>MEAL</x:v>
      </x:c>
      <x:c r="D45" s="14" t="str">
        <x:v>Theo dõi estimate cost, prep time, cooking load và diversity.</x:v>
      </x:c>
      <x:c r="E45" s="14" t="str">
        <x:v>Should</x:v>
      </x:c>
      <x:c r="F45" s="14" t="str">
        <x:v>Cost source có timestamp/region.</x:v>
      </x:c>
      <x:c r="G45" s="14" t="str">
        <x:v>BN-P3-044</x:v>
      </x:c>
      <x:c r="H45" s="14" t="str">
        <x:v>Mapped</x:v>
      </x:c>
    </x:row>
    <x:row r="46">
      <x:c r="A46" s="14" t="str">
        <x:v>FR-PAN-001</x:v>
      </x:c>
      <x:c r="B46" s="14" t="str">
        <x:v>FR</x:v>
      </x:c>
      <x:c r="C46" s="14" t="str">
        <x:v>PAN</x:v>
      </x:c>
      <x:c r="D46" s="14" t="str">
        <x:v>Pantry lưu ingredient, quantity, unit, purchase/open/expiry date, location và household owner.</x:v>
      </x:c>
      <x:c r="E46" s="14" t="str">
        <x:v>Must</x:v>
      </x:c>
      <x:c r="F46" s="14" t="str">
        <x:v>Hỗ trợ manual + barcode/receipt/image optional.</x:v>
      </x:c>
      <x:c r="G46" s="14" t="str">
        <x:v>BN-P4-045</x:v>
      </x:c>
      <x:c r="H46" s="14" t="str">
        <x:v>Mapped</x:v>
      </x:c>
    </x:row>
    <x:row r="47">
      <x:c r="A47" s="14" t="str">
        <x:v>FR-PAN-002</x:v>
      </x:c>
      <x:c r="B47" s="14" t="str">
        <x:v>FR</x:v>
      </x:c>
      <x:c r="C47" s="14" t="str">
        <x:v>PAN</x:v>
      </x:c>
      <x:c r="D47" s="14" t="str">
        <x:v>Trừ tồn kho từ cook session và cho phép confirm/edit trước khi commit.</x:v>
      </x:c>
      <x:c r="E47" s="14" t="str">
        <x:v>Must</x:v>
      </x:c>
      <x:c r="F47" s="14" t="str">
        <x:v>Không âm tồn kho silent.</x:v>
      </x:c>
      <x:c r="G47" s="14" t="str">
        <x:v>BN-P4-046</x:v>
      </x:c>
      <x:c r="H47" s="14" t="str">
        <x:v>Mapped</x:v>
      </x:c>
    </x:row>
    <x:row r="48">
      <x:c r="A48" s="14" t="str">
        <x:v>FR-PAN-003</x:v>
      </x:c>
      <x:c r="B48" s="14" t="str">
        <x:v>FR</x:v>
      </x:c>
      <x:c r="C48" s="14" t="str">
        <x:v>PAN</x:v>
      </x:c>
      <x:c r="D48" s="14" t="str">
        <x:v>Cảnh báo nguyên liệu sắp hết hạn và ưu tiên recommendation sử dụng trước.</x:v>
      </x:c>
      <x:c r="E48" s="14" t="str">
        <x:v>Must</x:v>
      </x:c>
      <x:c r="F48" s="14" t="str">
        <x:v>User cấu hình threshold.</x:v>
      </x:c>
      <x:c r="G48" s="14" t="str">
        <x:v>BN-P4-047</x:v>
      </x:c>
      <x:c r="H48" s="14" t="str">
        <x:v>Mapped</x:v>
      </x:c>
    </x:row>
    <x:row r="49">
      <x:c r="A49" s="14" t="str">
        <x:v>FR-PAN-004</x:v>
      </x:c>
      <x:c r="B49" s="14" t="str">
        <x:v>FR</x:v>
      </x:c>
      <x:c r="C49" s="14" t="str">
        <x:v>PAN</x:v>
      </x:c>
      <x:c r="D49" s="14" t="str">
        <x:v>Leftover object lưu món còn lại, quantity, ngày nấu, storage và use-by.</x:v>
      </x:c>
      <x:c r="E49" s="14" t="str">
        <x:v>Should</x:v>
      </x:c>
      <x:c r="F49" s="14" t="str">
        <x:v>Gợi ý reheat/transform an toàn.</x:v>
      </x:c>
      <x:c r="G49" s="14" t="str">
        <x:v>BN-P4-048</x:v>
      </x:c>
      <x:c r="H49" s="14" t="str">
        <x:v>Mapped</x:v>
      </x:c>
    </x:row>
    <x:row r="50">
      <x:c r="A50" s="14" t="str">
        <x:v>FR-PAN-005</x:v>
      </x:c>
      <x:c r="B50" s="14" t="str">
        <x:v>FR</x:v>
      </x:c>
      <x:c r="C50" s="14" t="str">
        <x:v>PAN</x:v>
      </x:c>
      <x:c r="D50" s="14" t="str">
        <x:v>“Nấu từ những gì đang có” lọc món theo coverage pantry và missing ingredients.</x:v>
      </x:c>
      <x:c r="E50" s="14" t="str">
        <x:v>Must</x:v>
      </x:c>
      <x:c r="F50" s="14" t="str">
        <x:v>Hiển thị % coverage và món cần mua thêm.</x:v>
      </x:c>
      <x:c r="G50" s="14" t="str">
        <x:v>BN-P4-049</x:v>
      </x:c>
      <x:c r="H50" s="14" t="str">
        <x:v>Mapped</x:v>
      </x:c>
    </x:row>
    <x:row r="51">
      <x:c r="A51" s="14" t="str">
        <x:v>FR-PAN-006</x:v>
      </x:c>
      <x:c r="B51" s="14" t="str">
        <x:v>FR</x:v>
      </x:c>
      <x:c r="C51" s="14" t="str">
        <x:v>PAN</x:v>
      </x:c>
      <x:c r="D51" s="14" t="str">
        <x:v>Hỗ trợ household stock reconciliation và inventory adjustment log.</x:v>
      </x:c>
      <x:c r="E51" s="14" t="str">
        <x:v>Could</x:v>
      </x:c>
      <x:c r="F51" s="14" t="str">
        <x:v>Phục vụ user dùng thường xuyên.</x:v>
      </x:c>
      <x:c r="G51" s="14" t="str">
        <x:v>BN-P4-050</x:v>
      </x:c>
      <x:c r="H51" s="14" t="str">
        <x:v>Mapped</x:v>
      </x:c>
    </x:row>
    <x:row r="52">
      <x:c r="A52" s="14" t="str">
        <x:v>FR-SHOP-001</x:v>
      </x:c>
      <x:c r="B52" s="14" t="str">
        <x:v>FR</x:v>
      </x:c>
      <x:c r="C52" s="14" t="str">
        <x:v>SHOP</x:v>
      </x:c>
      <x:c r="D52" s="14" t="str">
        <x:v>Sinh shopping list từ meal plan/pantry, merge ingredient theo canonical unit.</x:v>
      </x:c>
      <x:c r="E52" s="14" t="str">
        <x:v>Must</x:v>
      </x:c>
      <x:c r="F52" s="14" t="str">
        <x:v>Trừ tồn kho khả dụng.</x:v>
      </x:c>
      <x:c r="G52" s="14" t="str">
        <x:v>BN-P4-051</x:v>
      </x:c>
      <x:c r="H52" s="14" t="str">
        <x:v>Mapped</x:v>
      </x:c>
    </x:row>
    <x:row r="53">
      <x:c r="A53" s="14" t="str">
        <x:v>FR-SHOP-002</x:v>
      </x:c>
      <x:c r="B53" s="14" t="str">
        <x:v>FR</x:v>
      </x:c>
      <x:c r="C53" s="14" t="str">
        <x:v>SHOP</x:v>
      </x:c>
      <x:c r="D53" s="14" t="str">
        <x:v>Chia list theo nhóm hàng/chợ/siêu thị và người phụ trách.</x:v>
      </x:c>
      <x:c r="E53" s="14" t="str">
        <x:v>Should</x:v>
      </x:c>
      <x:c r="F53" s="14" t="str">
        <x:v>Real-time shared check-off.</x:v>
      </x:c>
      <x:c r="G53" s="14" t="str">
        <x:v>BN-P4-052</x:v>
      </x:c>
      <x:c r="H53" s="14" t="str">
        <x:v>Mapped</x:v>
      </x:c>
    </x:row>
    <x:row r="54">
      <x:c r="A54" s="14" t="str">
        <x:v>FR-SHOP-003</x:v>
      </x:c>
      <x:c r="B54" s="14" t="str">
        <x:v>FR</x:v>
      </x:c>
      <x:c r="C54" s="14" t="str">
        <x:v>SHOP</x:v>
      </x:c>
      <x:c r="D54" s="14" t="str">
        <x:v>Cho phép budget mục tiêu theo tuần/tháng và cảnh báo plan vượt budget.</x:v>
      </x:c>
      <x:c r="E54" s="14" t="str">
        <x:v>Must</x:v>
      </x:c>
      <x:c r="F54" s="14" t="str">
        <x:v>Recommendation đề xuất thay món/nguyên liệu.</x:v>
      </x:c>
      <x:c r="G54" s="14" t="str">
        <x:v>BN-P4-053</x:v>
      </x:c>
      <x:c r="H54" s="14" t="str">
        <x:v>Mapped</x:v>
      </x:c>
    </x:row>
    <x:row r="55">
      <x:c r="A55" s="14" t="str">
        <x:v>FR-SHOP-004</x:v>
      </x:c>
      <x:c r="B55" s="14" t="str">
        <x:v>FR</x:v>
      </x:c>
      <x:c r="C55" s="14" t="str">
        <x:v>SHOP</x:v>
      </x:c>
      <x:c r="D55" s="14" t="str">
        <x:v>Theo dõi actual spend và học mức giá user nhập để ước tính tốt hơn.</x:v>
      </x:c>
      <x:c r="E55" s="14" t="str">
        <x:v>Should</x:v>
      </x:c>
      <x:c r="F55" s="14" t="str">
        <x:v>Không giả định giá realtime khi không có nguồn.</x:v>
      </x:c>
      <x:c r="G55" s="14" t="str">
        <x:v>BN-P4-054</x:v>
      </x:c>
      <x:c r="H55" s="14" t="str">
        <x:v>Mapped</x:v>
      </x:c>
    </x:row>
    <x:row r="56">
      <x:c r="A56" s="14" t="str">
        <x:v>FR-SHOP-005</x:v>
      </x:c>
      <x:c r="B56" s="14" t="str">
        <x:v>FR</x:v>
      </x:c>
      <x:c r="C56" s="14" t="str">
        <x:v>SHOP</x:v>
      </x:c>
      <x:c r="D56" s="14" t="str">
        <x:v>Affiliate/deep link mua nguyên liệu là optional và phải phân biệt rõ nội dung tài trợ.</x:v>
      </x:c>
      <x:c r="E56" s="14" t="str">
        <x:v>Could</x:v>
      </x:c>
      <x:c r="F56" s="14" t="str">
        <x:v>Không ảnh hưởng ranking nếu không khai báo.</x:v>
      </x:c>
      <x:c r="G56" s="14" t="str">
        <x:v>BN-P4-055</x:v>
      </x:c>
      <x:c r="H56" s="14" t="str">
        <x:v>Mapped</x:v>
      </x:c>
    </x:row>
    <x:row r="57">
      <x:c r="A57" s="14" t="str">
        <x:v>FR-RES-001</x:v>
      </x:c>
      <x:c r="B57" s="14" t="str">
        <x:v>FR</x:v>
      </x:c>
      <x:c r="C57" s="14" t="str">
        <x:v>RES</x:v>
      </x:c>
      <x:c r="D57" s="14" t="str">
        <x:v>Rescue Mode cho các lỗi: mặn, nhạt, ngọt, chua, cay, loãng, đặc, cháy nhẹ, sống/dai, tanh.</x:v>
      </x:c>
      <x:c r="E57" s="14" t="str">
        <x:v>Must</x:v>
      </x:c>
      <x:c r="F57" s="14" t="str">
        <x:v>Hỏi context tối thiểu trước khi hướng dẫn.</x:v>
      </x:c>
      <x:c r="G57" s="14" t="str">
        <x:v>BN-P4-056</x:v>
      </x:c>
      <x:c r="H57" s="14" t="str">
        <x:v>Mapped</x:v>
      </x:c>
    </x:row>
    <x:row r="58">
      <x:c r="A58" s="14" t="str">
        <x:v>FR-RES-002</x:v>
      </x:c>
      <x:c r="B58" s="14" t="str">
        <x:v>FR</x:v>
      </x:c>
      <x:c r="C58" s="14" t="str">
        <x:v>RES</x:v>
      </x:c>
      <x:c r="D58" s="14" t="str">
        <x:v>Đưa hướng dẫn cứu món theo lượng thực tế, không chỉ lời khuyên chung.</x:v>
      </x:c>
      <x:c r="E58" s="14" t="str">
        <x:v>Must</x:v>
      </x:c>
      <x:c r="F58" s="14" t="str">
        <x:v>Có risk warning khi không thể cứu an toàn.</x:v>
      </x:c>
      <x:c r="G58" s="14" t="str">
        <x:v>BN-P4-057</x:v>
      </x:c>
      <x:c r="H58" s="14" t="str">
        <x:v>Mapped</x:v>
      </x:c>
    </x:row>
    <x:row r="59">
      <x:c r="A59" s="14" t="str">
        <x:v>FR-RES-003</x:v>
      </x:c>
      <x:c r="B59" s="14" t="str">
        <x:v>FR</x:v>
      </x:c>
      <x:c r="C59" s="14" t="str">
        <x:v>RES</x:v>
      </x:c>
      <x:c r="D59" s="14" t="str">
        <x:v>Smart substitution đề xuất thay thế theo chức năng ingredient, taste impact, allergy và pantry.</x:v>
      </x:c>
      <x:c r="E59" s="14" t="str">
        <x:v>Must</x:v>
      </x:c>
      <x:c r="F59" s="14" t="str">
        <x:v>Hiển thị mức độ tương đương.</x:v>
      </x:c>
      <x:c r="G59" s="14" t="str">
        <x:v>BN-P4-058</x:v>
      </x:c>
      <x:c r="H59" s="14" t="str">
        <x:v>Mapped</x:v>
      </x:c>
    </x:row>
    <x:row r="60">
      <x:c r="A60" s="14" t="str">
        <x:v>FR-RES-004</x:v>
      </x:c>
      <x:c r="B60" s="14" t="str">
        <x:v>FR</x:v>
      </x:c>
      <x:c r="C60" s="14" t="str">
        <x:v>RES</x:v>
      </x:c>
      <x:c r="D60" s="14" t="str">
        <x:v>Sau rescue, cho phép user báo kết quả để engine cải thiện recommendation.</x:v>
      </x:c>
      <x:c r="E60" s="14" t="str">
        <x:v>Should</x:v>
      </x:c>
      <x:c r="F60" s="14" t="str">
        <x:v>Không cập nhật taste preference từ lỗi kỹ thuật một cách trực tiếp.</x:v>
      </x:c>
      <x:c r="G60" s="14" t="str">
        <x:v>BN-P4-059</x:v>
      </x:c>
      <x:c r="H60" s="14" t="str">
        <x:v>Mapped</x:v>
      </x:c>
    </x:row>
    <x:row r="61">
      <x:c r="A61" s="14" t="str">
        <x:v>FR-SRCH-001</x:v>
      </x:c>
      <x:c r="B61" s="14" t="str">
        <x:v>FR</x:v>
      </x:c>
      <x:c r="C61" s="14" t="str">
        <x:v>SRCH</x:v>
      </x:c>
      <x:c r="D61" s="14" t="str">
        <x:v>Search theo tên, ingredient, vùng miền, thời gian, budget, equipment, diet, skill, pantry coverage.</x:v>
      </x:c>
      <x:c r="E61" s="14" t="str">
        <x:v>Must</x:v>
      </x:c>
      <x:c r="F61" s="14" t="str">
        <x:v>Faceted filtering + typo tolerant.</x:v>
      </x:c>
      <x:c r="G61" s="14" t="str">
        <x:v>BN-P5-060</x:v>
      </x:c>
      <x:c r="H61" s="14" t="str">
        <x:v>Mapped</x:v>
      </x:c>
    </x:row>
    <x:row r="62">
      <x:c r="A62" s="14" t="str">
        <x:v>FR-SRCH-002</x:v>
      </x:c>
      <x:c r="B62" s="14" t="str">
        <x:v>FR</x:v>
      </x:c>
      <x:c r="C62" s="14" t="str">
        <x:v>SRCH</x:v>
      </x:c>
      <x:c r="D62" s="14" t="str">
        <x:v>Home recommendation kết hợp Taste DNA, household, recent meals, season, pantry, trend và exploration.</x:v>
      </x:c>
      <x:c r="E62" s="14" t="str">
        <x:v>Must</x:v>
      </x:c>
      <x:c r="F62" s="14" t="str">
        <x:v>Có explanation “vì sao bạn thấy món này”.</x:v>
      </x:c>
      <x:c r="G62" s="14" t="str">
        <x:v>BN-P5-061</x:v>
      </x:c>
      <x:c r="H62" s="14" t="str">
        <x:v>Mapped</x:v>
      </x:c>
    </x:row>
    <x:row r="63">
      <x:c r="A63" s="14" t="str">
        <x:v>FR-SRCH-003</x:v>
      </x:c>
      <x:c r="B63" s="14" t="str">
        <x:v>FR</x:v>
      </x:c>
      <x:c r="C63" s="14" t="str">
        <x:v>SRCH</x:v>
      </x:c>
      <x:c r="D63" s="14" t="str">
        <x:v>Không lặp món quá dày và tránh filter bubble bằng exploration có kiểm soát.</x:v>
      </x:c>
      <x:c r="E63" s="14" t="str">
        <x:v>Should</x:v>
      </x:c>
      <x:c r="F63" s="14" t="str">
        <x:v>Diversity constraints configurable.</x:v>
      </x:c>
      <x:c r="G63" s="14" t="str">
        <x:v>BN-P5-062</x:v>
      </x:c>
      <x:c r="H63" s="14" t="str">
        <x:v>Mapped</x:v>
      </x:c>
    </x:row>
    <x:row r="64">
      <x:c r="A64" s="14" t="str">
        <x:v>FR-SRCH-004</x:v>
      </x:c>
      <x:c r="B64" s="14" t="str">
        <x:v>FR</x:v>
      </x:c>
      <x:c r="C64" s="14" t="str">
        <x:v>SRCH</x:v>
      </x:c>
      <x:c r="D64" s="14" t="str">
        <x:v>Recommendation phải xử lý cold-start và anonymous user.</x:v>
      </x:c>
      <x:c r="E64" s="14" t="str">
        <x:v>Must</x:v>
      </x:c>
      <x:c r="F64" s="14" t="str">
        <x:v>Fallback editorial/popular/seasonal.</x:v>
      </x:c>
      <x:c r="G64" s="14" t="str">
        <x:v>BN-P5-063</x:v>
      </x:c>
      <x:c r="H64" s="14" t="str">
        <x:v>Mapped</x:v>
      </x:c>
    </x:row>
    <x:row r="65">
      <x:c r="A65" s="14" t="str">
        <x:v>FR-SRCH-005</x:v>
      </x:c>
      <x:c r="B65" s="14" t="str">
        <x:v>FR</x:v>
      </x:c>
      <x:c r="C65" s="14" t="str">
        <x:v>SRCH</x:v>
      </x:c>
      <x:c r="D65" s="14" t="str">
        <x:v>User có thể dislike/not interested và hide creator/tag.</x:v>
      </x:c>
      <x:c r="E65" s="14" t="str">
        <x:v>Should</x:v>
      </x:c>
      <x:c r="F65" s="14" t="str">
        <x:v>Feedback tác động ranking ngay.</x:v>
      </x:c>
      <x:c r="G65" s="14" t="str">
        <x:v>BN-P5-064</x:v>
      </x:c>
      <x:c r="H65" s="14" t="str">
        <x:v>Mapped</x:v>
      </x:c>
    </x:row>
    <x:row r="66">
      <x:c r="A66" s="14" t="str">
        <x:v>FR-SOC-001</x:v>
      </x:c>
      <x:c r="B66" s="14" t="str">
        <x:v>FR</x:v>
      </x:c>
      <x:c r="C66" s="14" t="str">
        <x:v>SOC</x:v>
      </x:c>
      <x:c r="D66" s="14" t="str">
        <x:v>Feed cho phép post ảnh/video món, recipe reference, cook result, tip, câu hỏi và story ngắn.</x:v>
      </x:c>
      <x:c r="E66" s="14" t="str">
        <x:v>Should</x:v>
      </x:c>
      <x:c r="F66" s="14" t="str">
        <x:v>Privacy public/follower/household/private.</x:v>
      </x:c>
      <x:c r="G66" s="14" t="str">
        <x:v>BN-P5-065</x:v>
      </x:c>
      <x:c r="H66" s="14" t="str">
        <x:v>Mapped</x:v>
      </x:c>
    </x:row>
    <x:row r="67">
      <x:c r="A67" s="14" t="str">
        <x:v>FR-SOC-002</x:v>
      </x:c>
      <x:c r="B67" s="14" t="str">
        <x:v>FR</x:v>
      </x:c>
      <x:c r="C67" s="14" t="str">
        <x:v>SOC</x:v>
      </x:c>
      <x:c r="D67" s="14" t="str">
        <x:v>Follow user/creator/topic/recipe; like/save/comment/share/report.</x:v>
      </x:c>
      <x:c r="E67" s="14" t="str">
        <x:v>Should</x:v>
      </x:c>
      <x:c r="F67" s="14" t="str">
        <x:v>Anti-spam/rate limit.</x:v>
      </x:c>
      <x:c r="G67" s="14" t="str">
        <x:v>BN-P5-066</x:v>
      </x:c>
      <x:c r="H67" s="14" t="str">
        <x:v>Mapped</x:v>
      </x:c>
    </x:row>
    <x:row r="68">
      <x:c r="A68" s="14" t="str">
        <x:v>FR-SOC-003</x:v>
      </x:c>
      <x:c r="B68" s="14" t="str">
        <x:v>FR</x:v>
      </x:c>
      <x:c r="C68" s="14" t="str">
        <x:v>SOC</x:v>
      </x:c>
      <x:c r="D68" s="14" t="str">
        <x:v>Taste Match tính độ tương đồng khẩu vị và dùng để xếp hạng review/recipe.</x:v>
      </x:c>
      <x:c r="E68" s="14" t="str">
        <x:v>Should</x:v>
      </x:c>
      <x:c r="F68" s="14" t="str">
        <x:v>Không công khai vector raw nếu user không opt-in.</x:v>
      </x:c>
      <x:c r="G68" s="14" t="str">
        <x:v>BN-P5-067</x:v>
      </x:c>
      <x:c r="H68" s="14" t="str">
        <x:v>Mapped</x:v>
      </x:c>
    </x:row>
    <x:row r="69">
      <x:c r="A69" s="14" t="str">
        <x:v>FR-SOC-004</x:v>
      </x:c>
      <x:c r="B69" s="14" t="str">
        <x:v>FR</x:v>
      </x:c>
      <x:c r="C69" s="14" t="str">
        <x:v>SOC</x:v>
      </x:c>
      <x:c r="D69" s="14" t="str">
        <x:v>Hiển thị “người có khẩu vị giống bạn” và recipe được họ đánh giá cao.</x:v>
      </x:c>
      <x:c r="E69" s="14" t="str">
        <x:v>Should</x:v>
      </x:c>
      <x:c r="F69" s="14" t="str">
        <x:v>Có block/hide.</x:v>
      </x:c>
      <x:c r="G69" s="14" t="str">
        <x:v>BN-P5-068</x:v>
      </x:c>
      <x:c r="H69" s="14" t="str">
        <x:v>Mapped</x:v>
      </x:c>
    </x:row>
    <x:row r="70">
      <x:c r="A70" s="14" t="str">
        <x:v>FR-SOC-005</x:v>
      </x:c>
      <x:c r="B70" s="14" t="str">
        <x:v>FR</x:v>
      </x:c>
      <x:c r="C70" s="14" t="str">
        <x:v>SOC</x:v>
      </x:c>
      <x:c r="D70" s="14" t="str">
        <x:v>Recipe Fork/Remix hiển thị cây lineage, attribution và popularity của nhánh.</x:v>
      </x:c>
      <x:c r="E70" s="14" t="str">
        <x:v>Should</x:v>
      </x:c>
      <x:c r="F70" s="14" t="str">
        <x:v>Original creator nhận attribution.</x:v>
      </x:c>
      <x:c r="G70" s="14" t="str">
        <x:v>BN-P5-069</x:v>
      </x:c>
      <x:c r="H70" s="14" t="str">
        <x:v>Mapped</x:v>
      </x:c>
    </x:row>
    <x:row r="71">
      <x:c r="A71" s="14" t="str">
        <x:v>FR-SOC-006</x:v>
      </x:c>
      <x:c r="B71" s="14" t="str">
        <x:v>FR</x:v>
      </x:c>
      <x:c r="C71" s="14" t="str">
        <x:v>SOC</x:v>
      </x:c>
      <x:c r="D71" s="14" t="str">
        <x:v>Challenge theo tuần/tháng: nấu 3 món rau, món vùng miền, zero-waste...</x:v>
      </x:c>
      <x:c r="E71" s="14" t="str">
        <x:v>Could</x:v>
      </x:c>
      <x:c r="F71" s="14" t="str">
        <x:v>Không dùng dark pattern gây nghiện.</x:v>
      </x:c>
      <x:c r="G71" s="14" t="str">
        <x:v>BN-P5-070</x:v>
      </x:c>
      <x:c r="H71" s="14" t="str">
        <x:v>Mapped</x:v>
      </x:c>
    </x:row>
    <x:row r="72">
      <x:c r="A72" s="14" t="str">
        <x:v>FR-SOC-007</x:v>
      </x:c>
      <x:c r="B72" s="14" t="str">
        <x:v>FR</x:v>
      </x:c>
      <x:c r="C72" s="14" t="str">
        <x:v>SOC</x:v>
      </x:c>
      <x:c r="D72" s="14" t="str">
        <x:v>DM/Group chat không bắt buộc ở release đầu nhưng kiến trúc phải không cản trở mở rộng.</x:v>
      </x:c>
      <x:c r="E72" s="14" t="str">
        <x:v>Could</x:v>
      </x:c>
      <x:c r="F72" s="14" t="str">
        <x:v>Nếu triển khai cần abuse controls riêng.</x:v>
      </x:c>
      <x:c r="G72" s="14" t="str">
        <x:v>BN-P5-071</x:v>
      </x:c>
      <x:c r="H72" s="14" t="str">
        <x:v>Mapped</x:v>
      </x:c>
    </x:row>
    <x:row r="73">
      <x:c r="A73" s="14" t="str">
        <x:v>FR-CRT-001</x:v>
      </x:c>
      <x:c r="B73" s="14" t="str">
        <x:v>FR</x:v>
      </x:c>
      <x:c r="C73" s="14" t="str">
        <x:v>CRT</x:v>
      </x:c>
      <x:c r="D73" s="14" t="str">
        <x:v>Creator profile có bio, specialty, verified badge, recipe collection, followers và analytics.</x:v>
      </x:c>
      <x:c r="E73" s="14" t="str">
        <x:v>Should</x:v>
      </x:c>
      <x:c r="F73" s="14" t="str">
        <x:v>Verification workflow qua Admin.</x:v>
      </x:c>
      <x:c r="G73" s="14" t="str">
        <x:v>BN-P5-072</x:v>
      </x:c>
      <x:c r="H73" s="14" t="str">
        <x:v>Mapped</x:v>
      </x:c>
    </x:row>
    <x:row r="74">
      <x:c r="A74" s="14" t="str">
        <x:v>FR-CRT-002</x:v>
      </x:c>
      <x:c r="B74" s="14" t="str">
        <x:v>FR</x:v>
      </x:c>
      <x:c r="C74" s="14" t="str">
        <x:v>CRT</x:v>
      </x:c>
      <x:c r="D74" s="14" t="str">
        <x:v>Creator Studio hỗ trợ draft, version, schedule publish, media, ingredient structured editor.</x:v>
      </x:c>
      <x:c r="E74" s="14" t="str">
        <x:v>Should</x:v>
      </x:c>
      <x:c r="F74" s="14" t="str">
        <x:v>Recipe validation trước publish.</x:v>
      </x:c>
      <x:c r="G74" s="14" t="str">
        <x:v>BN-P5-073</x:v>
      </x:c>
      <x:c r="H74" s="14" t="str">
        <x:v>Mapped</x:v>
      </x:c>
    </x:row>
    <x:row r="75">
      <x:c r="A75" s="14" t="str">
        <x:v>FR-CRT-003</x:v>
      </x:c>
      <x:c r="B75" s="14" t="str">
        <x:v>FR</x:v>
      </x:c>
      <x:c r="C75" s="14" t="str">
        <x:v>CRT</x:v>
      </x:c>
      <x:c r="D75" s="14" t="str">
        <x:v>Creator xem analytics aggregate: views, saves, cooks, success feedback, fork count.</x:v>
      </x:c>
      <x:c r="E75" s="14" t="str">
        <x:v>Should</x:v>
      </x:c>
      <x:c r="F75" s="14" t="str">
        <x:v>Không tiết lộ dữ liệu cá nhân user.</x:v>
      </x:c>
      <x:c r="G75" s="14" t="str">
        <x:v>BN-P5-074</x:v>
      </x:c>
      <x:c r="H75" s="14" t="str">
        <x:v>Mapped</x:v>
      </x:c>
    </x:row>
    <x:row r="76">
      <x:c r="A76" s="14" t="str">
        <x:v>FR-CRT-004</x:v>
      </x:c>
      <x:c r="B76" s="14" t="str">
        <x:v>FR</x:v>
      </x:c>
      <x:c r="C76" s="14" t="str">
        <x:v>CRT</x:v>
      </x:c>
      <x:c r="D76" s="14" t="str">
        <x:v>Hỗ trợ revenue share/paid collection trong tương lai qua entitlement.</x:v>
      </x:c>
      <x:c r="E76" s="14" t="str">
        <x:v>Could</x:v>
      </x:c>
      <x:c r="F76" s="14" t="str">
        <x:v>Tách khỏi core subscription ledger.</x:v>
      </x:c>
      <x:c r="G76" s="14" t="str">
        <x:v>BN-P5-075</x:v>
      </x:c>
      <x:c r="H76" s="14" t="str">
        <x:v>Mapped</x:v>
      </x:c>
    </x:row>
    <x:row r="77">
      <x:c r="A77" s="14" t="str">
        <x:v>FR-GAME-001</x:v>
      </x:c>
      <x:c r="B77" s="14" t="str">
        <x:v>FR</x:v>
      </x:c>
      <x:c r="C77" s="14" t="str">
        <x:v>GAME</x:v>
      </x:c>
      <x:c r="D77" s="14" t="str">
        <x:v>Streak, cooking milestone, badge và collection phải phản ánh giá trị thực, không ép engagement.</x:v>
      </x:c>
      <x:c r="E77" s="14" t="str">
        <x:v>Could</x:v>
      </x:c>
      <x:c r="F77" s="14" t="str">
        <x:v>Cho phép tắt gamification.</x:v>
      </x:c>
      <x:c r="G77" s="14" t="str">
        <x:v>BN-P5-076</x:v>
      </x:c>
      <x:c r="H77" s="14" t="str">
        <x:v>Mapped</x:v>
      </x:c>
    </x:row>
    <x:row r="78">
      <x:c r="A78" s="14" t="str">
        <x:v>FR-GAME-002</x:v>
      </x:c>
      <x:c r="B78" s="14" t="str">
        <x:v>FR</x:v>
      </x:c>
      <x:c r="C78" s="14" t="str">
        <x:v>GAME</x:v>
      </x:c>
      <x:c r="D78" s="14" t="str">
        <x:v>Weekly recap: món đã nấu, tiết kiệm, ingredient dùng hết, taste learning mới.</x:v>
      </x:c>
      <x:c r="E78" s="14" t="str">
        <x:v>Should</x:v>
      </x:c>
      <x:c r="F78" s="14" t="str">
        <x:v>Có opt-out.</x:v>
      </x:c>
      <x:c r="G78" s="14" t="str">
        <x:v>BN-P5-077</x:v>
      </x:c>
      <x:c r="H78" s="14" t="str">
        <x:v>Mapped</x:v>
      </x:c>
    </x:row>
    <x:row r="79">
      <x:c r="A79" s="14" t="str">
        <x:v>FR-GAME-003</x:v>
      </x:c>
      <x:c r="B79" s="14" t="str">
        <x:v>FR</x:v>
      </x:c>
      <x:c r="C79" s="14" t="str">
        <x:v>GAME</x:v>
      </x:c>
      <x:c r="D79" s="14" t="str">
        <x:v>Seasonal missions/challenges được CMS cấu hình.</x:v>
      </x:c>
      <x:c r="E79" s="14" t="str">
        <x:v>Could</x:v>
      </x:c>
      <x:c r="F79" s="14" t="str">
        <x:v>Moderation cho user-generated challenge nếu có.</x:v>
      </x:c>
      <x:c r="G79" s="14" t="str">
        <x:v>BN-P5-078</x:v>
      </x:c>
      <x:c r="H79" s="14" t="str">
        <x:v>Mapped</x:v>
      </x:c>
    </x:row>
    <x:row r="80">
      <x:c r="A80" s="14" t="str">
        <x:v>FR-NOTI-001</x:v>
      </x:c>
      <x:c r="B80" s="14" t="str">
        <x:v>FR</x:v>
      </x:c>
      <x:c r="C80" s="14" t="str">
        <x:v>NOTI</x:v>
      </x:c>
      <x:c r="D80" s="14" t="str">
        <x:v>Push/in-app/email cho meal reminder, pantry expiry, shared list change, comment/follow, billing và system notice.</x:v>
      </x:c>
      <x:c r="E80" s="14" t="str">
        <x:v>Must</x:v>
      </x:c>
      <x:c r="F80" s="14" t="str">
        <x:v>User chọn channel/topic/quiet hours.</x:v>
      </x:c>
      <x:c r="G80" s="14" t="str">
        <x:v>BN-P5-079</x:v>
      </x:c>
      <x:c r="H80" s="14" t="str">
        <x:v>Mapped</x:v>
      </x:c>
    </x:row>
    <x:row r="81">
      <x:c r="A81" s="14" t="str">
        <x:v>FR-NOTI-002</x:v>
      </x:c>
      <x:c r="B81" s="14" t="str">
        <x:v>FR</x:v>
      </x:c>
      <x:c r="C81" s="14" t="str">
        <x:v>NOTI</x:v>
      </x:c>
      <x:c r="D81" s="14" t="str">
        <x:v>Notification phải deep-link đúng context và deduplicate.</x:v>
      </x:c>
      <x:c r="E81" s="14" t="str">
        <x:v>Must</x:v>
      </x:c>
      <x:c r="F81" s="14" t="str">
        <x:v>Có inbox trạng thái read/unread.</x:v>
      </x:c>
      <x:c r="G81" s="14" t="str">
        <x:v>BN-P5-080</x:v>
      </x:c>
      <x:c r="H81" s="14" t="str">
        <x:v>Mapped</x:v>
      </x:c>
    </x:row>
    <x:row r="82">
      <x:c r="A82" s="14" t="str">
        <x:v>FR-NOTI-003</x:v>
      </x:c>
      <x:c r="B82" s="14" t="str">
        <x:v>FR</x:v>
      </x:c>
      <x:c r="C82" s="14" t="str">
        <x:v>NOTI</x:v>
      </x:c>
      <x:c r="D82" s="14" t="str">
        <x:v>Digest thay cho spam khi nhiều social event.</x:v>
      </x:c>
      <x:c r="E82" s="14" t="str">
        <x:v>Should</x:v>
      </x:c>
      <x:c r="F82" s="14" t="str">
        <x:v>Frequency user-configurable.</x:v>
      </x:c>
      <x:c r="G82" s="14" t="str">
        <x:v>BN-P5-081</x:v>
      </x:c>
      <x:c r="H82" s="14" t="str">
        <x:v>Mapped</x:v>
      </x:c>
    </x:row>
    <x:row r="83">
      <x:c r="A83" s="14" t="str">
        <x:v>FR-PAY-001</x:v>
      </x:c>
      <x:c r="B83" s="14" t="str">
        <x:v>FR</x:v>
      </x:c>
      <x:c r="C83" s="14" t="str">
        <x:v>PAY</x:v>
      </x:c>
      <x:c r="D83" s="14" t="str">
        <x:v>Free/Premium entitlement theo feature/quota; server-side enforcement.</x:v>
      </x:c>
      <x:c r="E83" s="14" t="str">
        <x:v>Must</x:v>
      </x:c>
      <x:c r="F83" s="14" t="str">
        <x:v>Không dựa UI-only gate.</x:v>
      </x:c>
      <x:c r="G83" s="14" t="str">
        <x:v>BN-P6-082</x:v>
      </x:c>
      <x:c r="H83" s="14" t="str">
        <x:v>Mapped</x:v>
      </x:c>
    </x:row>
    <x:row r="84">
      <x:c r="A84" s="14" t="str">
        <x:v>FR-PAY-002</x:v>
      </x:c>
      <x:c r="B84" s="14" t="str">
        <x:v>FR</x:v>
      </x:c>
      <x:c r="C84" s="14" t="str">
        <x:v>PAY</x:v>
      </x:c>
      <x:c r="D84" s="14" t="str">
        <x:v>Hỗ trợ App Store/Google Play billing và web payment; xử lý renew/cancel/grace/refund.</x:v>
      </x:c>
      <x:c r="E84" s="14" t="str">
        <x:v>Must</x:v>
      </x:c>
      <x:c r="F84" s="14" t="str">
        <x:v>Ledger idempotent.</x:v>
      </x:c>
      <x:c r="G84" s="14" t="str">
        <x:v>BN-P6-083</x:v>
      </x:c>
      <x:c r="H84" s="14" t="str">
        <x:v>Mapped</x:v>
      </x:c>
    </x:row>
    <x:row r="85">
      <x:c r="A85" s="14" t="str">
        <x:v>FR-PAY-003</x:v>
      </x:c>
      <x:c r="B85" s="14" t="str">
        <x:v>FR</x:v>
      </x:c>
      <x:c r="C85" s="14" t="str">
        <x:v>PAY</x:v>
      </x:c>
      <x:c r="D85" s="14" t="str">
        <x:v>Family plan, promo code, trial, gift và grandfathering policy.</x:v>
      </x:c>
      <x:c r="E85" s="14" t="str">
        <x:v>Should</x:v>
      </x:c>
      <x:c r="F85" s="14" t="str">
        <x:v>Không mất entitlement khi provider webhook trễ.</x:v>
      </x:c>
      <x:c r="G85" s="14" t="str">
        <x:v>BN-P6-084</x:v>
      </x:c>
      <x:c r="H85" s="14" t="str">
        <x:v>Mapped</x:v>
      </x:c>
    </x:row>
    <x:row r="86">
      <x:c r="A86" s="14" t="str">
        <x:v>FR-PAY-004</x:v>
      </x:c>
      <x:c r="B86" s="14" t="str">
        <x:v>FR</x:v>
      </x:c>
      <x:c r="C86" s="14" t="str">
        <x:v>PAY</x:v>
      </x:c>
      <x:c r="D86" s="14" t="str">
        <x:v>Ads/affiliate nếu dùng phải được tách rõ, không gây ảnh hưởng safety/recommendation không khai báo.</x:v>
      </x:c>
      <x:c r="E86" s="14" t="str">
        <x:v>Could</x:v>
      </x:c>
      <x:c r="F86" s="14" t="str">
        <x:v>Premium có thể ad-free.</x:v>
      </x:c>
      <x:c r="G86" s="14" t="str">
        <x:v>BN-P6-085</x:v>
      </x:c>
      <x:c r="H86" s="14" t="str">
        <x:v>Mapped</x:v>
      </x:c>
    </x:row>
    <x:row r="87">
      <x:c r="A87" s="14" t="str">
        <x:v>FR-PAY-005</x:v>
      </x:c>
      <x:c r="B87" s="14" t="str">
        <x:v>FR</x:v>
      </x:c>
      <x:c r="C87" s="14" t="str">
        <x:v>PAY</x:v>
      </x:c>
      <x:c r="D87" s="14" t="str">
        <x:v>Paywall experiment qua feature flag/experiment nhưng tuân thủ consent và pricing transparency.</x:v>
      </x:c>
      <x:c r="E87" s="14" t="str">
        <x:v>Should</x:v>
      </x:c>
      <x:c r="F87" s="14" t="str">
        <x:v>Audit experiment assignment.</x:v>
      </x:c>
      <x:c r="G87" s="14" t="str">
        <x:v>BN-P6-086</x:v>
      </x:c>
      <x:c r="H87" s="14" t="str">
        <x:v>Mapped</x:v>
      </x:c>
    </x:row>
    <x:row r="88">
      <x:c r="A88" s="14" t="str">
        <x:v>FR-ADM-001</x:v>
      </x:c>
      <x:c r="B88" s="14" t="str">
        <x:v>FR</x:v>
      </x:c>
      <x:c r="C88" s="14" t="str">
        <x:v>ADM</x:v>
      </x:c>
      <x:c r="D88" s="14" t="str">
        <x:v>Admin RBAC cho content, moderation, support, billing, analytics, feature flag.</x:v>
      </x:c>
      <x:c r="E88" s="14" t="str">
        <x:v>Must</x:v>
      </x:c>
      <x:c r="F88" s="14" t="str">
        <x:v>Least privilege + audit log.</x:v>
      </x:c>
      <x:c r="G88" s="14" t="str">
        <x:v>BN-P6-087</x:v>
      </x:c>
      <x:c r="H88" s="14" t="str">
        <x:v>Mapped</x:v>
      </x:c>
    </x:row>
    <x:row r="89">
      <x:c r="A89" s="14" t="str">
        <x:v>FR-ADM-002</x:v>
      </x:c>
      <x:c r="B89" s="14" t="str">
        <x:v>FR</x:v>
      </x:c>
      <x:c r="C89" s="14" t="str">
        <x:v>ADM</x:v>
      </x:c>
      <x:c r="D89" s="14" t="str">
        <x:v>CMS quản lý recipe, ingredient canonical, taxonomy, regional variants, seasonal collections.</x:v>
      </x:c>
      <x:c r="E89" s="14" t="str">
        <x:v>Must</x:v>
      </x:c>
      <x:c r="F89" s="14" t="str">
        <x:v>Draft/review/approve/publish workflow.</x:v>
      </x:c>
      <x:c r="G89" s="14" t="str">
        <x:v>BN-P6-088</x:v>
      </x:c>
      <x:c r="H89" s="14" t="str">
        <x:v>Mapped</x:v>
      </x:c>
    </x:row>
    <x:row r="90">
      <x:c r="A90" s="14" t="str">
        <x:v>FR-ADM-003</x:v>
      </x:c>
      <x:c r="B90" s="14" t="str">
        <x:v>FR</x:v>
      </x:c>
      <x:c r="C90" s="14" t="str">
        <x:v>ADM</x:v>
      </x:c>
      <x:c r="D90" s="14" t="str">
        <x:v>Dashboard theo dõi user, retention, content quality, error, moderation queue và revenue aggregate.</x:v>
      </x:c>
      <x:c r="E90" s="14" t="str">
        <x:v>Must</x:v>
      </x:c>
      <x:c r="F90" s="14" t="str">
        <x:v>Không expose secret/PII không cần thiết.</x:v>
      </x:c>
      <x:c r="G90" s="14" t="str">
        <x:v>BN-P6-089</x:v>
      </x:c>
      <x:c r="H90" s="14" t="str">
        <x:v>Mapped</x:v>
      </x:c>
    </x:row>
    <x:row r="91">
      <x:c r="A91" s="14" t="str">
        <x:v>FR-ADM-004</x:v>
      </x:c>
      <x:c r="B91" s="14" t="str">
        <x:v>FR</x:v>
      </x:c>
      <x:c r="C91" s="14" t="str">
        <x:v>ADM</x:v>
      </x:c>
      <x:c r="D91" s="14" t="str">
        <x:v>Feature flag và remote config theo cohort/platform/version.</x:v>
      </x:c>
      <x:c r="E91" s="14" t="str">
        <x:v>Must</x:v>
      </x:c>
      <x:c r="F91" s="14" t="str">
        <x:v>Kill switch cho AI/social/billing feature.</x:v>
      </x:c>
      <x:c r="G91" s="14" t="str">
        <x:v>BN-P6-090</x:v>
      </x:c>
      <x:c r="H91" s="14" t="str">
        <x:v>Mapped</x:v>
      </x:c>
    </x:row>
    <x:row r="92">
      <x:c r="A92" s="14" t="str">
        <x:v>FR-ADM-005</x:v>
      </x:c>
      <x:c r="B92" s="14" t="str">
        <x:v>FR</x:v>
      </x:c>
      <x:c r="C92" s="14" t="str">
        <x:v>ADM</x:v>
      </x:c>
      <x:c r="D92" s="14" t="str">
        <x:v>Support console tra cứu user theo masked identifier, entitlement, sync issue, report history.</x:v>
      </x:c>
      <x:c r="E92" s="14" t="str">
        <x:v>Should</x:v>
      </x:c>
      <x:c r="F92" s="14" t="str">
        <x:v>Sensitive action cần reason/audit.</x:v>
      </x:c>
      <x:c r="G92" s="14" t="str">
        <x:v>BN-P6-091</x:v>
      </x:c>
      <x:c r="H92" s="14" t="str">
        <x:v>Mapped</x:v>
      </x:c>
    </x:row>
    <x:row r="93">
      <x:c r="A93" s="14" t="str">
        <x:v>FR-MOD-001</x:v>
      </x:c>
      <x:c r="B93" s="14" t="str">
        <x:v>FR</x:v>
      </x:c>
      <x:c r="C93" s="14" t="str">
        <x:v>MOD</x:v>
      </x:c>
      <x:c r="D93" s="14" t="str">
        <x:v>User report post/comment/profile/recipe; category spam, abuse, unsafe food advice, copyright, impersonation.</x:v>
      </x:c>
      <x:c r="E93" s="14" t="str">
        <x:v>Must</x:v>
      </x:c>
      <x:c r="F93" s="14" t="str">
        <x:v>SLA và queue priority.</x:v>
      </x:c>
      <x:c r="G93" s="14" t="str">
        <x:v>BN-P6-092</x:v>
      </x:c>
      <x:c r="H93" s="14" t="str">
        <x:v>Mapped</x:v>
      </x:c>
    </x:row>
    <x:row r="94">
      <x:c r="A94" s="14" t="str">
        <x:v>FR-MOD-002</x:v>
      </x:c>
      <x:c r="B94" s="14" t="str">
        <x:v>FR</x:v>
      </x:c>
      <x:c r="C94" s="14" t="str">
        <x:v>MOD</x:v>
      </x:c>
      <x:c r="D94" s="14" t="str">
        <x:v>Kết hợp automated screening + human review + appeal.</x:v>
      </x:c>
      <x:c r="E94" s="14" t="str">
        <x:v>Must</x:v>
      </x:c>
      <x:c r="F94" s="14" t="str">
        <x:v>Không auto-ban chỉ từ low-confidence AI.</x:v>
      </x:c>
      <x:c r="G94" s="14" t="str">
        <x:v>BN-P6-093</x:v>
      </x:c>
      <x:c r="H94" s="14" t="str">
        <x:v>Mapped</x:v>
      </x:c>
    </x:row>
    <x:row r="95">
      <x:c r="A95" s="14" t="str">
        <x:v>FR-MOD-003</x:v>
      </x:c>
      <x:c r="B95" s="14" t="str">
        <x:v>FR</x:v>
      </x:c>
      <x:c r="C95" s="14" t="str">
        <x:v>MOD</x:v>
      </x:c>
      <x:c r="D95" s="14" t="str">
        <x:v>Food safety warning cho nguyên liệu sống, bảo quản, reheating và dị ứng.</x:v>
      </x:c>
      <x:c r="E95" s="14" t="str">
        <x:v>Must</x:v>
      </x:c>
      <x:c r="F95" s="14" t="str">
        <x:v>Không thay thế tư vấn y tế.</x:v>
      </x:c>
      <x:c r="G95" s="14" t="str">
        <x:v>BN-P6-094</x:v>
      </x:c>
      <x:c r="H95" s="14" t="str">
        <x:v>Mapped</x:v>
      </x:c>
    </x:row>
    <x:row r="96">
      <x:c r="A96" s="14" t="str">
        <x:v>FR-MOD-004</x:v>
      </x:c>
      <x:c r="B96" s="14" t="str">
        <x:v>FR</x:v>
      </x:c>
      <x:c r="C96" s="14" t="str">
        <x:v>MOD</x:v>
      </x:c>
      <x:c r="D96" s="14" t="str">
        <x:v>Block/mute user, comment controls, hidden words.</x:v>
      </x:c>
      <x:c r="E96" s="14" t="str">
        <x:v>Should</x:v>
      </x:c>
      <x:c r="F96" s="14" t="str">
        <x:v>Áp dụng tức thì trên feed.</x:v>
      </x:c>
      <x:c r="G96" s="14" t="str">
        <x:v>BN-P6-095</x:v>
      </x:c>
      <x:c r="H96" s="14" t="str">
        <x:v>Mapped</x:v>
      </x:c>
    </x:row>
    <x:row r="97">
      <x:c r="A97" s="14" t="str">
        <x:v>FR-MOD-005</x:v>
      </x:c>
      <x:c r="B97" s="14" t="str">
        <x:v>FR</x:v>
      </x:c>
      <x:c r="C97" s="14" t="str">
        <x:v>MOD</x:v>
      </x:c>
      <x:c r="D97" s="14" t="str">
        <x:v>Copyright/attribution takedown workflow cho recipe/media.</x:v>
      </x:c>
      <x:c r="E97" s="14" t="str">
        <x:v>Should</x:v>
      </x:c>
      <x:c r="F97" s="14" t="str">
        <x:v>Giữ evidence/audit theo policy.</x:v>
      </x:c>
      <x:c r="G97" s="14" t="str">
        <x:v>BN-P6-096</x:v>
      </x:c>
      <x:c r="H97" s="14" t="str">
        <x:v>Mapped</x:v>
      </x:c>
    </x:row>
    <x:row r="98">
      <x:c r="A98" s="14" t="str">
        <x:v>FR-AN-001</x:v>
      </x:c>
      <x:c r="B98" s="14" t="str">
        <x:v>FR</x:v>
      </x:c>
      <x:c r="C98" s="14" t="str">
        <x:v>AN</x:v>
      </x:c>
      <x:c r="D98" s="14" t="str">
        <x:v>Event tracking chuẩn hóa cho acquisition → activation → cook → feedback → retention → conversion.</x:v>
      </x:c>
      <x:c r="E98" s="14" t="str">
        <x:v>Must</x:v>
      </x:c>
      <x:c r="F98" s="14" t="str">
        <x:v>Event schema versioned.</x:v>
      </x:c>
      <x:c r="G98" s="14" t="str">
        <x:v>BN-P6-097</x:v>
      </x:c>
      <x:c r="H98" s="14" t="str">
        <x:v>Mapped</x:v>
      </x:c>
    </x:row>
    <x:row r="99">
      <x:c r="A99" s="14" t="str">
        <x:v>FR-AN-002</x:v>
      </x:c>
      <x:c r="B99" s="14" t="str">
        <x:v>FR</x:v>
      </x:c>
      <x:c r="C99" s="14" t="str">
        <x:v>AN</x:v>
      </x:c>
      <x:c r="D99" s="14" t="str">
        <x:v>A/B testing, feature rollout, holdout và experiment guardrail metrics.</x:v>
      </x:c>
      <x:c r="E99" s="14" t="str">
        <x:v>Should</x:v>
      </x:c>
      <x:c r="F99" s="14" t="str">
        <x:v>Không experiment safety-critical logic.</x:v>
      </x:c>
      <x:c r="G99" s="14" t="str">
        <x:v>BN-P6-098</x:v>
      </x:c>
      <x:c r="H99" s="14" t="str">
        <x:v>Mapped</x:v>
      </x:c>
    </x:row>
    <x:row r="100">
      <x:c r="A100" s="14" t="str">
        <x:v>FR-AN-003</x:v>
      </x:c>
      <x:c r="B100" s="14" t="str">
        <x:v>FR</x:v>
      </x:c>
      <x:c r="C100" s="14" t="str">
        <x:v>AN</x:v>
      </x:c>
      <x:c r="D100" s="14" t="str">
        <x:v>Referral code/link và reward theo policy chống abuse.</x:v>
      </x:c>
      <x:c r="E100" s="14" t="str">
        <x:v>Could</x:v>
      </x:c>
      <x:c r="F100" s="14" t="str">
        <x:v>Fraud detection basic.</x:v>
      </x:c>
      <x:c r="G100" s="14" t="str">
        <x:v>BN-P6-099</x:v>
      </x:c>
      <x:c r="H100" s="14" t="str">
        <x:v>Mapped</x:v>
      </x:c>
    </x:row>
    <x:row r="101">
      <x:c r="A101" s="14" t="str">
        <x:v>FR-AN-004</x:v>
      </x:c>
      <x:c r="B101" s="14" t="str">
        <x:v>FR</x:v>
      </x:c>
      <x:c r="C101" s="14" t="str">
        <x:v>AN</x:v>
      </x:c>
      <x:c r="D101" s="14" t="str">
        <x:v>Attribution campaign/channel và deep link.</x:v>
      </x:c>
      <x:c r="E101" s="14" t="str">
        <x:v>Should</x:v>
      </x:c>
      <x:c r="F101" s="14" t="str">
        <x:v>Respect privacy/consent.</x:v>
      </x:c>
      <x:c r="G101" s="14" t="str">
        <x:v>BN-P6-100</x:v>
      </x:c>
      <x:c r="H101" s="14" t="str">
        <x:v>Mapped</x:v>
      </x:c>
    </x:row>
    <x:row r="102">
      <x:c r="A102" s="14" t="str">
        <x:v>FR-AN-005</x:v>
      </x:c>
      <x:c r="B102" s="14" t="str">
        <x:v>FR</x:v>
      </x:c>
      <x:c r="C102" s="14" t="str">
        <x:v>AN</x:v>
      </x:c>
      <x:c r="D102" s="14" t="str">
        <x:v>Cohort dashboard theo lifecycle, Taste maturity và household adoption.</x:v>
      </x:c>
      <x:c r="E102" s="14" t="str">
        <x:v>Must</x:v>
      </x:c>
      <x:c r="F102" s="14" t="str">
        <x:v>Data aggregated/anonymized where possible.</x:v>
      </x:c>
      <x:c r="G102" s="14" t="str">
        <x:v>BN-P6-101</x:v>
      </x:c>
      <x:c r="H102" s="14" t="str">
        <x:v>Mapped</x:v>
      </x:c>
    </x:row>
    <x:row r="103">
      <x:c r="A103" s="14" t="str">
        <x:v>FR-SUP-001</x:v>
      </x:c>
      <x:c r="B103" s="14" t="str">
        <x:v>FR</x:v>
      </x:c>
      <x:c r="C103" s="14" t="str">
        <x:v>SUP</x:v>
      </x:c>
      <x:c r="D103" s="14" t="str">
        <x:v>In-app feedback/bug report đính kèm app version, screen context và log kỹ thuật đã scrub PII.</x:v>
      </x:c>
      <x:c r="E103" s="14" t="str">
        <x:v>Must</x:v>
      </x:c>
      <x:c r="F103" s="14" t="str">
        <x:v>User xem trước attachment.</x:v>
      </x:c>
      <x:c r="G103" s="14" t="str">
        <x:v>BN-P6-102</x:v>
      </x:c>
      <x:c r="H103" s="14" t="str">
        <x:v>Mapped</x:v>
      </x:c>
    </x:row>
    <x:row r="104">
      <x:c r="A104" s="14" t="str">
        <x:v>FR-SUP-002</x:v>
      </x:c>
      <x:c r="B104" s="14" t="str">
        <x:v>FR</x:v>
      </x:c>
      <x:c r="C104" s="14" t="str">
        <x:v>SUP</x:v>
      </x:c>
      <x:c r="D104" s="14" t="str">
        <x:v>Help center/FAQ/search và contact support.</x:v>
      </x:c>
      <x:c r="E104" s="14" t="str">
        <x:v>Should</x:v>
      </x:c>
      <x:c r="F104" s="14" t="str">
        <x:v>CMS-manageable.</x:v>
      </x:c>
      <x:c r="G104" s="14" t="str">
        <x:v>BN-P6-103</x:v>
      </x:c>
      <x:c r="H104" s="14" t="str">
        <x:v>Mapped</x:v>
      </x:c>
    </x:row>
    <x:row r="105">
      <x:c r="A105" s="14" t="str">
        <x:v>FR-SUP-003</x:v>
      </x:c>
      <x:c r="B105" s="14" t="str">
        <x:v>FR</x:v>
      </x:c>
      <x:c r="C105" s="14" t="str">
        <x:v>SUP</x:v>
      </x:c>
      <x:c r="D105" s="14" t="str">
        <x:v>Recipe quality report riêng cho định lượng sai, step thiếu, kết quả không đúng.</x:v>
      </x:c>
      <x:c r="E105" s="14" t="str">
        <x:v>Must</x:v>
      </x:c>
      <x:c r="F105" s="14" t="str">
        <x:v>Tạo content review task.</x:v>
      </x:c>
      <x:c r="G105" s="14" t="str">
        <x:v>BN-P6-104</x:v>
      </x:c>
      <x:c r="H105" s="14" t="str">
        <x:v>Mapped</x:v>
      </x:c>
    </x:row>
    <x:row r="106">
      <x:c r="A106" s="14" t="str">
        <x:v>FR-SUP-004</x:v>
      </x:c>
      <x:c r="B106" s="14" t="str">
        <x:v>FR</x:v>
      </x:c>
      <x:c r="C106" s="14" t="str">
        <x:v>SUP</x:v>
      </x:c>
      <x:c r="D106" s="14" t="str">
        <x:v>Status page / maintenance message khi service suy giảm.</x:v>
      </x:c>
      <x:c r="E106" s="14" t="str">
        <x:v>Should</x:v>
      </x:c>
      <x:c r="F106" s="14" t="str">
        <x:v>Remote config hỗ trợ.</x:v>
      </x:c>
      <x:c r="G106" s="14" t="str">
        <x:v>BN-P6-105</x:v>
      </x:c>
      <x:c r="H106" s="14" t="str">
        <x:v>Mapped</x:v>
      </x:c>
    </x:row>
    <x:row r="107">
      <x:c r="A107" s="14" t="str">
        <x:v>FR-PLAT-001</x:v>
      </x:c>
      <x:c r="B107" s="14" t="str">
        <x:v>FR</x:v>
      </x:c>
      <x:c r="C107" s="14" t="str">
        <x:v>PLAT</x:v>
      </x:c>
      <x:c r="D107" s="14" t="str">
        <x:v>Web responsive/PWA và native iOS/Android cùng account/data.</x:v>
      </x:c>
      <x:c r="E107" s="14" t="str">
        <x:v>Must</x:v>
      </x:c>
      <x:c r="F107" s="14" t="str">
        <x:v>Core flows parity; platform-native billing/push.</x:v>
      </x:c>
      <x:c r="G107" s="14" t="str">
        <x:v>BN-P7-106</x:v>
      </x:c>
      <x:c r="H107" s="14" t="str">
        <x:v>Mapped</x:v>
      </x:c>
    </x:row>
    <x:row r="108">
      <x:c r="A108" s="14" t="str">
        <x:v>FR-PLAT-002</x:v>
      </x:c>
      <x:c r="B108" s="14" t="str">
        <x:v>FR</x:v>
      </x:c>
      <x:c r="C108" s="14" t="str">
        <x:v>PLAT</x:v>
      </x:c>
      <x:c r="D108" s="14" t="str">
        <x:v>Hỗ trợ Vietnamese-first; kiến trúc i18n cho English và locale khác.</x:v>
      </x:c>
      <x:c r="E108" s="14" t="str">
        <x:v>Must</x:v>
      </x:c>
      <x:c r="F108" s="14" t="str">
        <x:v>Không hard-code copy trong logic.</x:v>
      </x:c>
      <x:c r="G108" s="14" t="str">
        <x:v>BN-P7-107</x:v>
      </x:c>
      <x:c r="H108" s="14" t="str">
        <x:v>Mapped</x:v>
      </x:c>
    </x:row>
    <x:row r="109">
      <x:c r="A109" s="14" t="str">
        <x:v>FR-PLAT-003</x:v>
      </x:c>
      <x:c r="B109" s="14" t="str">
        <x:v>FR</x:v>
      </x:c>
      <x:c r="C109" s="14" t="str">
        <x:v>PLAT</x:v>
      </x:c>
      <x:c r="D109" s="14" t="str">
        <x:v>Unit system configurable g/ml/tsp/tbsp/cup; canonical internal unit.</x:v>
      </x:c>
      <x:c r="E109" s="14" t="str">
        <x:v>Must</x:v>
      </x:c>
      <x:c r="F109" s="14" t="str">
        <x:v>Conversion có rounding policy.</x:v>
      </x:c>
      <x:c r="G109" s="14" t="str">
        <x:v>BN-P7-108</x:v>
      </x:c>
      <x:c r="H109" s="14" t="str">
        <x:v>Mapped</x:v>
      </x:c>
    </x:row>
    <x:row r="110">
      <x:c r="A110" s="14" t="str">
        <x:v>FR-PLAT-004</x:v>
      </x:c>
      <x:c r="B110" s="14" t="str">
        <x:v>FR</x:v>
      </x:c>
      <x:c r="C110" s="14" t="str">
        <x:v>PLAT</x:v>
      </x:c>
      <x:c r="D110" s="14" t="str">
        <x:v>Accessibility: screen reader labels, contrast, scalable text, keyboard web, voice alternative.</x:v>
      </x:c>
      <x:c r="E110" s="14" t="str">
        <x:v>Must</x:v>
      </x:c>
      <x:c r="F110" s="14" t="str">
        <x:v>Theo WCAG 2.2 AA mục tiêu.</x:v>
      </x:c>
      <x:c r="G110" s="14" t="str">
        <x:v>BN-P7-109</x:v>
      </x:c>
      <x:c r="H110" s="14" t="str">
        <x:v>Mapped</x:v>
      </x:c>
    </x:row>
    <x:row r="111">
      <x:c r="A111" s="14" t="str">
        <x:v>FR-PLAT-005</x:v>
      </x:c>
      <x:c r="B111" s="14" t="str">
        <x:v>FR</x:v>
      </x:c>
      <x:c r="C111" s="14" t="str">
        <x:v>PLAT</x:v>
      </x:c>
      <x:c r="D111" s="14" t="str">
        <x:v>Deep link/universal link và share card cho recipe/post/profile.</x:v>
      </x:c>
      <x:c r="E111" s="14" t="str">
        <x:v>Should</x:v>
      </x:c>
      <x:c r="F111" s="14" t="str">
        <x:v>Fallback web nếu app chưa cài.</x:v>
      </x:c>
      <x:c r="G111" s="14" t="str">
        <x:v>BN-P7-110</x:v>
      </x:c>
      <x:c r="H111" s="14" t="str">
        <x:v>Mapped</x:v>
      </x:c>
    </x:row>
    <x:row r="112">
      <x:c r="A112" s="14" t="str">
        <x:v>FR-PRV-001</x:v>
      </x:c>
      <x:c r="B112" s="14" t="str">
        <x:v>FR</x:v>
      </x:c>
      <x:c r="C112" s="14" t="str">
        <x:v>PRV</x:v>
      </x:c>
      <x:c r="D112" s="14" t="str">
        <x:v>Consent tách biệt cho personalization, analytics, marketing và social discovery khi cần.</x:v>
      </x:c>
      <x:c r="E112" s="14" t="str">
        <x:v>Must</x:v>
      </x:c>
      <x:c r="F112" s="14" t="str">
        <x:v>Consent versioned.</x:v>
      </x:c>
      <x:c r="G112" s="14" t="str">
        <x:v>BN-P7-111</x:v>
      </x:c>
      <x:c r="H112" s="14" t="str">
        <x:v>Mapped</x:v>
      </x:c>
    </x:row>
    <x:row r="113">
      <x:c r="A113" s="14" t="str">
        <x:v>FR-PRV-002</x:v>
      </x:c>
      <x:c r="B113" s="14" t="str">
        <x:v>FR</x:v>
      </x:c>
      <x:c r="C113" s="14" t="str">
        <x:v>PRV</x:v>
      </x:c>
      <x:c r="D113" s="14" t="str">
        <x:v>Cho phép user xem/xóa cook history, feedback, media, social content và household membership.</x:v>
      </x:c>
      <x:c r="E113" s="14" t="str">
        <x:v>Must</x:v>
      </x:c>
      <x:c r="F113" s="14" t="str">
        <x:v>Delete propagation có SLA.</x:v>
      </x:c>
      <x:c r="G113" s="14" t="str">
        <x:v>BN-P7-112</x:v>
      </x:c>
      <x:c r="H113" s="14" t="str">
        <x:v>Mapped</x:v>
      </x:c>
    </x:row>
    <x:row r="114">
      <x:c r="A114" s="14" t="str">
        <x:v>FR-PRV-003</x:v>
      </x:c>
      <x:c r="B114" s="14" t="str">
        <x:v>FR</x:v>
      </x:c>
      <x:c r="C114" s="14" t="str">
        <x:v>PRV</x:v>
      </x:c>
      <x:c r="D114" s="14" t="str">
        <x:v>Privacy mặc định: personal notes/private cook history không public.</x:v>
      </x:c>
      <x:c r="E114" s="14" t="str">
        <x:v>Must</x:v>
      </x:c>
      <x:c r="F114" s="14" t="str">
        <x:v>Social publish phải explicit.</x:v>
      </x:c>
      <x:c r="G114" s="14" t="str">
        <x:v>BN-P7-113</x:v>
      </x:c>
      <x:c r="H114" s="14" t="str">
        <x:v>Mapped</x:v>
      </x:c>
    </x:row>
    <x:row r="115">
      <x:c r="A115" s="14" t="str">
        <x:v>FR-PRV-004</x:v>
      </x:c>
      <x:c r="B115" s="14" t="str">
        <x:v>FR</x:v>
      </x:c>
      <x:c r="C115" s="14" t="str">
        <x:v>PRV</x:v>
      </x:c>
      <x:c r="D115" s="14" t="str">
        <x:v>Minor/child profile không có social public độc lập nếu không phù hợp policy.</x:v>
      </x:c>
      <x:c r="E115" s="14" t="str">
        <x:v>Must</x:v>
      </x:c>
      <x:c r="F115" s="14" t="str">
        <x:v>Household guardian control.</x:v>
      </x:c>
      <x:c r="G115" s="14" t="str">
        <x:v>BN-P7-114</x:v>
      </x:c>
      <x:c r="H115" s="14" t="str">
        <x:v>Mapped</x:v>
      </x:c>
    </x:row>
    <x:row r="116">
      <x:c r="A116" s="14" t="str">
        <x:v>FR-PRV-005</x:v>
      </x:c>
      <x:c r="B116" s="14" t="str">
        <x:v>FR</x:v>
      </x:c>
      <x:c r="C116" s="14" t="str">
        <x:v>PRV</x:v>
      </x:c>
      <x:c r="D116" s="14" t="str">
        <x:v>Data export ở định dạng machine-readable cho profile, recipe versions và history.</x:v>
      </x:c>
      <x:c r="E116" s="14" t="str">
        <x:v>Should</x:v>
      </x:c>
      <x:c r="F116" s="14" t="str">
        <x:v>Không export secret/internal scores có risk abuse nếu không cần.</x:v>
      </x:c>
      <x:c r="G116" s="14" t="str">
        <x:v>BN-P7-115</x:v>
      </x:c>
      <x:c r="H116" s="14" t="str">
        <x:v>Mapped</x:v>
      </x:c>
    </x:row>
    <x:row r="117">
      <x:c r="A117" s="14" t="str">
        <x:v>BR-001</x:v>
      </x:c>
      <x:c r="B117" s="14" t="str">
        <x:v>BR</x:v>
      </x:c>
      <x:c r="C117" s="14" t="str">
        <x:v>001</x:v>
      </x:c>
      <x:c r="D117" s="14" t="str">
        <x:v>Dị ứng và restriction an toàn là hard constraint, ưu tiên hơn taste, trend, monetization và creator ranking.</x:v>
      </x:c>
      <x:c r="E117" s="14" t="str"/>
      <x:c r="F117" s="14" t="str"/>
      <x:c r="G117" s="14" t="str">
        <x:v>Mapped during feature implementation</x:v>
      </x:c>
      <x:c r="H117" s="14" t="str">
        <x:v>Mapped</x:v>
      </x:c>
    </x:row>
    <x:row r="118">
      <x:c r="A118" s="14" t="str">
        <x:v>BR-002</x:v>
      </x:c>
      <x:c r="B118" s="14" t="str">
        <x:v>BR</x:v>
      </x:c>
      <x:c r="C118" s="14" t="str">
        <x:v>002</x:v>
      </x:c>
      <x:c r="D118" s="14" t="str">
        <x:v>Mọi điều chỉnh recipe cá nhân phải trace được về recipe/version nguồn và lý do.</x:v>
      </x:c>
      <x:c r="E118" s="14" t="str"/>
      <x:c r="F118" s="14" t="str"/>
      <x:c r="G118" s="14" t="str">
        <x:v>Mapped during feature implementation</x:v>
      </x:c>
      <x:c r="H118" s="14" t="str">
        <x:v>Mapped</x:v>
      </x:c>
    </x:row>
    <x:row r="119">
      <x:c r="A119" s="14" t="str">
        <x:v>BR-003</x:v>
      </x:c>
      <x:c r="B119" s="14" t="str">
        <x:v>BR</x:v>
      </x:c>
      <x:c r="C119" s="14" t="str">
        <x:v>003</x:v>
      </x:c>
      <x:c r="D119" s="14" t="str">
        <x:v>AI không được tự tạo khẳng định an toàn thực phẩm khi không có rule/source nội bộ phù hợp.</x:v>
      </x:c>
      <x:c r="E119" s="14" t="str"/>
      <x:c r="F119" s="14" t="str"/>
      <x:c r="G119" s="14" t="str">
        <x:v>Mapped during feature implementation</x:v>
      </x:c>
      <x:c r="H119" s="14" t="str">
        <x:v>Mapped</x:v>
      </x:c>
    </x:row>
    <x:row r="120">
      <x:c r="A120" s="14" t="str">
        <x:v>BR-004</x:v>
      </x:c>
      <x:c r="B120" s="14" t="str">
        <x:v>BR</x:v>
      </x:c>
      <x:c r="C120" s="14" t="str">
        <x:v>004</x:v>
      </x:c>
      <x:c r="D120" s="14" t="str">
        <x:v>User feedback về “mặn/ngọt...” chỉ cập nhật Taste DNA khi không bị đánh dấu là lỗi kỹ thuật/rescue bất thường.</x:v>
      </x:c>
      <x:c r="E120" s="14" t="str"/>
      <x:c r="F120" s="14" t="str"/>
      <x:c r="G120" s="14" t="str">
        <x:v>Mapped during feature implementation</x:v>
      </x:c>
      <x:c r="H120" s="14" t="str">
        <x:v>Mapped</x:v>
      </x:c>
    </x:row>
    <x:row r="121">
      <x:c r="A121" s="14" t="str">
        <x:v>BR-005</x:v>
      </x:c>
      <x:c r="B121" s="14" t="str">
        <x:v>BR</x:v>
      </x:c>
      <x:c r="C121" s="14" t="str">
        <x:v>005</x:v>
      </x:c>
      <x:c r="D121" s="14" t="str">
        <x:v>Taste DNA có confidence; signal ít dữ liệu không được áp adjustment lớn.</x:v>
      </x:c>
      <x:c r="E121" s="14" t="str"/>
      <x:c r="F121" s="14" t="str"/>
      <x:c r="G121" s="14" t="str">
        <x:v>Mapped during feature implementation</x:v>
      </x:c>
      <x:c r="H121" s="14" t="str">
        <x:v>Mapped</x:v>
      </x:c>
    </x:row>
    <x:row r="122">
      <x:c r="A122" s="14" t="str">
        <x:v>BR-006</x:v>
      </x:c>
      <x:c r="B122" s="14" t="str">
        <x:v>BR</x:v>
      </x:c>
      <x:c r="C122" s="14" t="str">
        <x:v>006</x:v>
      </x:c>
      <x:c r="D122" s="14" t="str">
        <x:v>Manual preference do user chỉnh có độ ưu tiên cao nhưng có thể được user reset.</x:v>
      </x:c>
      <x:c r="E122" s="14" t="str"/>
      <x:c r="F122" s="14" t="str"/>
      <x:c r="G122" s="14" t="str">
        <x:v>Mapped during feature implementation</x:v>
      </x:c>
      <x:c r="H122" s="14" t="str">
        <x:v>Mapped</x:v>
      </x:c>
    </x:row>
    <x:row r="123">
      <x:c r="A123" s="14" t="str">
        <x:v>BR-007</x:v>
      </x:c>
      <x:c r="B123" s="14" t="str">
        <x:v>BR</x:v>
      </x:c>
      <x:c r="C123" s="14" t="str">
        <x:v>007</x:v>
      </x:c>
      <x:c r="D123" s="14" t="str">
        <x:v>Household recommendation phải thỏa tất cả allergy/restriction của người tham gia bữa ăn.</x:v>
      </x:c>
      <x:c r="E123" s="14" t="str"/>
      <x:c r="F123" s="14" t="str"/>
      <x:c r="G123" s="14" t="str">
        <x:v>Mapped during feature implementation</x:v>
      </x:c>
      <x:c r="H123" s="14" t="str">
        <x:v>Mapped</x:v>
      </x:c>
    </x:row>
    <x:row r="124">
      <x:c r="A124" s="14" t="str">
        <x:v>BR-008</x:v>
      </x:c>
      <x:c r="B124" s="14" t="str">
        <x:v>BR</x:v>
      </x:c>
      <x:c r="C124" s="14" t="str">
        <x:v>008</x:v>
      </x:c>
      <x:c r="D124" s="14" t="str">
        <x:v>Recipe verified không bị community edit trực tiếp; mọi thay đổi là version/fork mới.</x:v>
      </x:c>
      <x:c r="E124" s="14" t="str"/>
      <x:c r="F124" s="14" t="str"/>
      <x:c r="G124" s="14" t="str">
        <x:v>Mapped during feature implementation</x:v>
      </x:c>
      <x:c r="H124" s="14" t="str">
        <x:v>Mapped</x:v>
      </x:c>
    </x:row>
    <x:row r="125">
      <x:c r="A125" s="14" t="str">
        <x:v>BR-009</x:v>
      </x:c>
      <x:c r="B125" s="14" t="str">
        <x:v>BR</x:v>
      </x:c>
      <x:c r="C125" s="14" t="str">
        <x:v>009</x:v>
      </x:c>
      <x:c r="D125" s="14" t="str">
        <x:v>Attribution của recipe fork phải được giữ xuyên suốt lineage.</x:v>
      </x:c>
      <x:c r="E125" s="14" t="str"/>
      <x:c r="F125" s="14" t="str"/>
      <x:c r="G125" s="14" t="str">
        <x:v>Mapped during feature implementation</x:v>
      </x:c>
      <x:c r="H125" s="14" t="str">
        <x:v>Mapped</x:v>
      </x:c>
    </x:row>
    <x:row r="126">
      <x:c r="A126" s="14" t="str">
        <x:v>BR-010</x:v>
      </x:c>
      <x:c r="B126" s="14" t="str">
        <x:v>BR</x:v>
      </x:c>
      <x:c r="C126" s="14" t="str">
        <x:v>010</x:v>
      </x:c>
      <x:c r="D126" s="14" t="str">
        <x:v>Personal cook note mặc định private.</x:v>
      </x:c>
      <x:c r="E126" s="14" t="str"/>
      <x:c r="F126" s="14" t="str"/>
      <x:c r="G126" s="14" t="str">
        <x:v>Mapped during feature implementation</x:v>
      </x:c>
      <x:c r="H126" s="14" t="str">
        <x:v>Mapped</x:v>
      </x:c>
    </x:row>
    <x:row r="127">
      <x:c r="A127" s="14" t="str">
        <x:v>BR-011</x:v>
      </x:c>
      <x:c r="B127" s="14" t="str">
        <x:v>BR</x:v>
      </x:c>
      <x:c r="C127" s="14" t="str">
        <x:v>011</x:v>
      </x:c>
      <x:c r="D127" s="14" t="str">
        <x:v>Social post không tự public ảnh từ cook session.</x:v>
      </x:c>
      <x:c r="E127" s="14" t="str"/>
      <x:c r="F127" s="14" t="str"/>
      <x:c r="G127" s="14" t="str">
        <x:v>Mapped during feature implementation</x:v>
      </x:c>
      <x:c r="H127" s="14" t="str">
        <x:v>Mapped</x:v>
      </x:c>
    </x:row>
    <x:row r="128">
      <x:c r="A128" s="14" t="str">
        <x:v>BR-012</x:v>
      </x:c>
      <x:c r="B128" s="14" t="str">
        <x:v>BR</x:v>
      </x:c>
      <x:c r="C128" s="14" t="str">
        <x:v>012</x:v>
      </x:c>
      <x:c r="D128" s="14" t="str">
        <x:v>Meal plan không tự đưa shopping item cho meal đánh dấu eating-out/skipped.</x:v>
      </x:c>
      <x:c r="E128" s="14" t="str"/>
      <x:c r="F128" s="14" t="str"/>
      <x:c r="G128" s="14" t="str">
        <x:v>Mapped during feature implementation</x:v>
      </x:c>
      <x:c r="H128" s="14" t="str">
        <x:v>Mapped</x:v>
      </x:c>
    </x:row>
    <x:row r="129">
      <x:c r="A129" s="14" t="str">
        <x:v>BR-013</x:v>
      </x:c>
      <x:c r="B129" s="14" t="str">
        <x:v>BR</x:v>
      </x:c>
      <x:c r="C129" s="14" t="str">
        <x:v>013</x:v>
      </x:c>
      <x:c r="D129" s="14" t="str">
        <x:v>Pantry deduction phải có khả năng undo và audit.</x:v>
      </x:c>
      <x:c r="E129" s="14" t="str"/>
      <x:c r="F129" s="14" t="str"/>
      <x:c r="G129" s="14" t="str">
        <x:v>Mapped during feature implementation</x:v>
      </x:c>
      <x:c r="H129" s="14" t="str">
        <x:v>Mapped</x:v>
      </x:c>
    </x:row>
    <x:row r="130">
      <x:c r="A130" s="14" t="str">
        <x:v>BR-014</x:v>
      </x:c>
      <x:c r="B130" s="14" t="str">
        <x:v>BR</x:v>
      </x:c>
      <x:c r="C130" s="14" t="str">
        <x:v>014</x:v>
      </x:c>
      <x:c r="D130" s="14" t="str">
        <x:v>Không cho phép inventory quantity âm nếu không có adjustment explícit.</x:v>
      </x:c>
      <x:c r="E130" s="14" t="str"/>
      <x:c r="F130" s="14" t="str"/>
      <x:c r="G130" s="14" t="str">
        <x:v>Mapped during feature implementation</x:v>
      </x:c>
      <x:c r="H130" s="14" t="str">
        <x:v>Mapped</x:v>
      </x:c>
    </x:row>
    <x:row r="131">
      <x:c r="A131" s="14" t="str">
        <x:v>BR-015</x:v>
      </x:c>
      <x:c r="B131" s="14" t="str">
        <x:v>BR</x:v>
      </x:c>
      <x:c r="C131" s="14" t="str">
        <x:v>015</x:v>
      </x:c>
      <x:c r="D131" s="14" t="str">
        <x:v>Premium entitlement xác thực server-side và idempotent theo transaction provider.</x:v>
      </x:c>
      <x:c r="E131" s="14" t="str"/>
      <x:c r="F131" s="14" t="str"/>
      <x:c r="G131" s="14" t="str">
        <x:v>Mapped during feature implementation</x:v>
      </x:c>
      <x:c r="H131" s="14" t="str">
        <x:v>Mapped</x:v>
      </x:c>
    </x:row>
    <x:row r="132">
      <x:c r="A132" s="14" t="str">
        <x:v>BR-016</x:v>
      </x:c>
      <x:c r="B132" s="14" t="str">
        <x:v>BR</x:v>
      </x:c>
      <x:c r="C132" s="14" t="str">
        <x:v>016</x:v>
      </x:c>
      <x:c r="D132" s="14" t="str">
        <x:v>Paid/affiliate content phải gắn nhãn rõ và không vượt safety constraints.</x:v>
      </x:c>
      <x:c r="E132" s="14" t="str"/>
      <x:c r="F132" s="14" t="str"/>
      <x:c r="G132" s="14" t="str">
        <x:v>Mapped during feature implementation</x:v>
      </x:c>
      <x:c r="H132" s="14" t="str">
        <x:v>Mapped</x:v>
      </x:c>
    </x:row>
    <x:row r="133">
      <x:c r="A133" s="14" t="str">
        <x:v>BR-017</x:v>
      </x:c>
      <x:c r="B133" s="14" t="str">
        <x:v>BR</x:v>
      </x:c>
      <x:c r="C133" s="14" t="str">
        <x:v>017</x:v>
      </x:c>
      <x:c r="D133" s="14" t="str">
        <x:v>Recommendation phải hỗ trợ “Why this?” và “Not interested”.</x:v>
      </x:c>
      <x:c r="E133" s="14" t="str"/>
      <x:c r="F133" s="14" t="str"/>
      <x:c r="G133" s="14" t="str">
        <x:v>Mapped during feature implementation</x:v>
      </x:c>
      <x:c r="H133" s="14" t="str">
        <x:v>Mapped</x:v>
      </x:c>
    </x:row>
    <x:row r="134">
      <x:c r="A134" s="14" t="str">
        <x:v>BR-018</x:v>
      </x:c>
      <x:c r="B134" s="14" t="str">
        <x:v>BR</x:v>
      </x:c>
      <x:c r="C134" s="14" t="str">
        <x:v>018</x:v>
      </x:c>
      <x:c r="D134" s="14" t="str">
        <x:v>Content moderation decision quan trọng phải có audit và appeal channel.</x:v>
      </x:c>
      <x:c r="E134" s="14" t="str"/>
      <x:c r="F134" s="14" t="str"/>
      <x:c r="G134" s="14" t="str">
        <x:v>Mapped during feature implementation</x:v>
      </x:c>
      <x:c r="H134" s="14" t="str">
        <x:v>Mapped</x:v>
      </x:c>
    </x:row>
    <x:row r="135">
      <x:c r="A135" s="14" t="str">
        <x:v>BR-019</x:v>
      </x:c>
      <x:c r="B135" s="14" t="str">
        <x:v>BR</x:v>
      </x:c>
      <x:c r="C135" s="14" t="str">
        <x:v>019</x:v>
      </x:c>
      <x:c r="D135" s="14" t="str">
        <x:v>Feature flag có thể vô hiệu hóa nhanh AI generation, social posting, payment hoặc notification khi có sự cố.</x:v>
      </x:c>
      <x:c r="E135" s="14" t="str"/>
      <x:c r="F135" s="14" t="str"/>
      <x:c r="G135" s="14" t="str">
        <x:v>Mapped during feature implementation</x:v>
      </x:c>
      <x:c r="H135" s="14" t="str">
        <x:v>Mapped</x:v>
      </x:c>
    </x:row>
    <x:row r="136">
      <x:c r="A136" s="14" t="str">
        <x:v>BR-020</x:v>
      </x:c>
      <x:c r="B136" s="14" t="str">
        <x:v>BR</x:v>
      </x:c>
      <x:c r="C136" s="14" t="str">
        <x:v>020</x:v>
      </x:c>
      <x:c r="D136" s="14" t="str">
        <x:v>Dữ liệu taste/social của child profile không dùng cho public discovery khi không có policy/consent phù hợp.</x:v>
      </x:c>
      <x:c r="E136" s="14" t="str"/>
      <x:c r="F136" s="14" t="str"/>
      <x:c r="G136" s="14" t="str">
        <x:v>Mapped during feature implementation</x:v>
      </x:c>
      <x:c r="H136" s="14" t="str">
        <x:v>Mapped</x:v>
      </x:c>
    </x:row>
    <x:row r="137">
      <x:c r="A137" s="14" t="str">
        <x:v>BR-021</x:v>
      </x:c>
      <x:c r="B137" s="14" t="str">
        <x:v>BR</x:v>
      </x:c>
      <x:c r="C137" s="14" t="str">
        <x:v>021</x:v>
      </x:c>
      <x:c r="D137" s="14" t="str">
        <x:v>Giá/chi phí chỉ được gắn timestamp/nguồn; nếu là estimate phải ghi rõ.</x:v>
      </x:c>
      <x:c r="E137" s="14" t="str"/>
      <x:c r="F137" s="14" t="str"/>
      <x:c r="G137" s="14" t="str">
        <x:v>Mapped during feature implementation</x:v>
      </x:c>
      <x:c r="H137" s="14" t="str">
        <x:v>Mapped</x:v>
      </x:c>
    </x:row>
    <x:row r="138">
      <x:c r="A138" s="14" t="str">
        <x:v>BR-022</x:v>
      </x:c>
      <x:c r="B138" s="14" t="str">
        <x:v>BR</x:v>
      </x:c>
      <x:c r="C138" s="14" t="str">
        <x:v>022</x:v>
      </x:c>
      <x:c r="D138" s="14" t="str">
        <x:v>Nutrition/health output nếu có chỉ mang tính thông tin và không thay thế tư vấn y tế.</x:v>
      </x:c>
      <x:c r="E138" s="14" t="str"/>
      <x:c r="F138" s="14" t="str"/>
      <x:c r="G138" s="14" t="str">
        <x:v>Mapped during feature implementation</x:v>
      </x:c>
      <x:c r="H138" s="14" t="str">
        <x:v>Mapped</x:v>
      </x:c>
    </x:row>
    <x:row r="139">
      <x:c r="A139" s="14" t="str">
        <x:v>BR-023</x:v>
      </x:c>
      <x:c r="B139" s="14" t="str">
        <x:v>BR</x:v>
      </x:c>
      <x:c r="C139" s="14" t="str">
        <x:v>023</x:v>
      </x:c>
      <x:c r="D139" s="14" t="str">
        <x:v>User có quyền rollback recipe personal version nhưng hệ thống giữ audit history.</x:v>
      </x:c>
      <x:c r="E139" s="14" t="str"/>
      <x:c r="F139" s="14" t="str"/>
      <x:c r="G139" s="14" t="str">
        <x:v>Mapped during feature implementation</x:v>
      </x:c>
      <x:c r="H139" s="14" t="str">
        <x:v>Mapped</x:v>
      </x:c>
    </x:row>
    <x:row r="140">
      <x:c r="A140" s="14" t="str">
        <x:v>BR-024</x:v>
      </x:c>
      <x:c r="B140" s="14" t="str">
        <x:v>BR</x:v>
      </x:c>
      <x:c r="C140" s="14" t="str">
        <x:v>024</x:v>
      </x:c>
      <x:c r="D140" s="14" t="str">
        <x:v>Delete account phải vô hiệu hóa truy cập ngay và hoàn tất purge/anonymize theo retention policy.</x:v>
      </x:c>
      <x:c r="E140" s="14" t="str"/>
      <x:c r="F140" s="14" t="str"/>
      <x:c r="G140" s="14" t="str">
        <x:v>Mapped during feature implementation</x:v>
      </x:c>
      <x:c r="H140" s="14" t="str">
        <x:v>Mapped</x:v>
      </x:c>
    </x:row>
    <x:row r="141">
      <x:c r="A141" s="14" t="str">
        <x:v>BR-025</x:v>
      </x:c>
      <x:c r="B141" s="14" t="str">
        <x:v>BR</x:v>
      </x:c>
      <x:c r="C141" s="14" t="str">
        <x:v>025</x:v>
      </x:c>
      <x:c r="D141" s="14" t="str">
        <x:v>Experiment không được thay đổi safety constraint, allergy handling hoặc consent semantics.</x:v>
      </x:c>
      <x:c r="E141" s="14" t="str"/>
      <x:c r="F141" s="14" t="str"/>
      <x:c r="G141" s="14" t="str">
        <x:v>Mapped during feature implementation</x:v>
      </x:c>
      <x:c r="H141" s="14" t="str">
        <x:v>Mapped</x:v>
      </x:c>
    </x:row>
    <x:row r="142">
      <x:c r="A142" s="14" t="str">
        <x:v>BR-026</x:v>
      </x:c>
      <x:c r="B142" s="14" t="str">
        <x:v>BR</x:v>
      </x:c>
      <x:c r="C142" s="14" t="str">
        <x:v>026</x:v>
      </x:c>
      <x:c r="D142" s="14" t="str">
        <x:v>Taste Match chỉ public ở dạng score/label khi cả hai phía và policy cho phép; vector raw không public.</x:v>
      </x:c>
      <x:c r="E142" s="14" t="str"/>
      <x:c r="F142" s="14" t="str"/>
      <x:c r="G142" s="14" t="str">
        <x:v>Mapped during feature implementation</x:v>
      </x:c>
      <x:c r="H142" s="14" t="str">
        <x:v>Mapped</x:v>
      </x:c>
    </x:row>
    <x:row r="143">
      <x:c r="A143" s="14" t="str">
        <x:v>BR-027</x:v>
      </x:c>
      <x:c r="B143" s="14" t="str">
        <x:v>BR</x:v>
      </x:c>
      <x:c r="C143" s="14" t="str">
        <x:v>027</x:v>
      </x:c>
      <x:c r="D143" s="14" t="str">
        <x:v>Creator analytics chỉ cung cấp aggregate, không expose danh tính người nấu nếu không có consent.</x:v>
      </x:c>
      <x:c r="E143" s="14" t="str"/>
      <x:c r="F143" s="14" t="str"/>
      <x:c r="G143" s="14" t="str">
        <x:v>Mapped during feature implementation</x:v>
      </x:c>
      <x:c r="H143" s="14" t="str">
        <x:v>Mapped</x:v>
      </x:c>
    </x:row>
    <x:row r="144">
      <x:c r="A144" s="14" t="str">
        <x:v>BR-028</x:v>
      </x:c>
      <x:c r="B144" s="14" t="str">
        <x:v>BR</x:v>
      </x:c>
      <x:c r="C144" s="14" t="str">
        <x:v>028</x:v>
      </x:c>
      <x:c r="D144" s="14" t="str">
        <x:v>Search/recommendation phải xử lý content deprecated/unsafe bằng cách loại khỏi candidate set.</x:v>
      </x:c>
      <x:c r="E144" s="14" t="str"/>
      <x:c r="F144" s="14" t="str"/>
      <x:c r="G144" s="14" t="str">
        <x:v>Mapped during feature implementation</x:v>
      </x:c>
      <x:c r="H144" s="14" t="str">
        <x:v>Mapped</x:v>
      </x:c>
    </x:row>
    <x:row r="145">
      <x:c r="A145" s="14" t="str">
        <x:v>BR-029</x:v>
      </x:c>
      <x:c r="B145" s="14" t="str">
        <x:v>BR</x:v>
      </x:c>
      <x:c r="C145" s="14" t="str">
        <x:v>029</x:v>
      </x:c>
      <x:c r="D145" s="14" t="str">
        <x:v>Recipe scale không linear mù quáng với toàn bộ gia vị/kỹ thuật; ingredient có scaling rule riêng.</x:v>
      </x:c>
      <x:c r="E145" s="14" t="str"/>
      <x:c r="F145" s="14" t="str"/>
      <x:c r="G145" s="14" t="str">
        <x:v>Mapped during feature implementation</x:v>
      </x:c>
      <x:c r="H145" s="14" t="str">
        <x:v>Mapped</x:v>
      </x:c>
    </x:row>
    <x:row r="146">
      <x:c r="A146" s="14" t="str">
        <x:v>BR-030</x:v>
      </x:c>
      <x:c r="B146" s="14" t="str">
        <x:v>BR</x:v>
      </x:c>
      <x:c r="C146" s="14" t="str">
        <x:v>030</x:v>
      </x:c>
      <x:c r="D146" s="14" t="str">
        <x:v>App không hứa “cứu” món nếu tình trạng liên quan an toàn (hỏng, ôi, sống nguy hiểm); phải khuyến nghị bỏ khi cần.</x:v>
      </x:c>
      <x:c r="E146" s="14" t="str"/>
      <x:c r="F146" s="14" t="str"/>
      <x:c r="G146" s="14" t="str">
        <x:v>Mapped during feature implementation</x:v>
      </x:c>
      <x:c r="H146" s="14" t="str">
        <x:v>Mapped</x:v>
      </x:c>
    </x:row>
    <x:row r="147">
      <x:c r="A147" s="14" t="str">
        <x:v>AI-001</x:v>
      </x:c>
      <x:c r="B147" s="14" t="str">
        <x:v>AI</x:v>
      </x:c>
      <x:c r="C147" s="14" t="str">
        <x:v>001</x:v>
      </x:c>
      <x:c r="D147" s="14" t="str">
        <x:v>LLM chỉ là lớp hỗ trợ giải thích/generation; structured recipe truth nằm trong domain data.</x:v>
      </x:c>
      <x:c r="E147" s="14" t="str"/>
      <x:c r="F147" s="14" t="str"/>
      <x:c r="G147" s="14" t="str">
        <x:v>BN-P0-011</x:v>
      </x:c>
      <x:c r="H147" s="14" t="str">
        <x:v>Mapped</x:v>
      </x:c>
    </x:row>
    <x:row r="148">
      <x:c r="A148" s="14" t="str">
        <x:v>AI-002</x:v>
      </x:c>
      <x:c r="B148" s="14" t="str">
        <x:v>AI</x:v>
      </x:c>
      <x:c r="C148" s="14" t="str">
        <x:v>002</x:v>
      </x:c>
      <x:c r="D148" s="14" t="str">
        <x:v>Taste adjustment phải có deterministic guardrail về range, allergy, scaling và ingredient compatibility.</x:v>
      </x:c>
      <x:c r="E148" s="14" t="str"/>
      <x:c r="F148" s="14" t="str"/>
      <x:c r="G148" s="14" t="str">
        <x:v>BN-P0-011</x:v>
      </x:c>
      <x:c r="H148" s="14" t="str">
        <x:v>Mapped</x:v>
      </x:c>
    </x:row>
    <x:row r="149">
      <x:c r="A149" s="14" t="str">
        <x:v>AI-003</x:v>
      </x:c>
      <x:c r="B149" s="14" t="str">
        <x:v>AI</x:v>
      </x:c>
      <x:c r="C149" s="14" t="str">
        <x:v>003</x:v>
      </x:c>
      <x:c r="D149" s="14" t="str">
        <x:v>Recommendation phải trả explanation factors; user có thể dislike/hide.</x:v>
      </x:c>
      <x:c r="E149" s="14" t="str"/>
      <x:c r="F149" s="14" t="str"/>
      <x:c r="G149" s="14" t="str">
        <x:v>BN-P0-011</x:v>
      </x:c>
      <x:c r="H149" s="14" t="str">
        <x:v>Mapped</x:v>
      </x:c>
    </x:row>
    <x:row r="150">
      <x:c r="A150" s="14" t="str">
        <x:v>AI-004</x:v>
      </x:c>
      <x:c r="B150" s="14" t="str">
        <x:v>AI</x:v>
      </x:c>
      <x:c r="C150" s="14" t="str">
        <x:v>004</x:v>
      </x:c>
      <x:c r="D150" s="14" t="str">
        <x:v>Mỗi model/prompt/config phải versioned để audit và A/B test.</x:v>
      </x:c>
      <x:c r="E150" s="14" t="str"/>
      <x:c r="F150" s="14" t="str"/>
      <x:c r="G150" s="14" t="str">
        <x:v>BN-P0-011</x:v>
      </x:c>
      <x:c r="H150" s="14" t="str">
        <x:v>Mapped</x:v>
      </x:c>
    </x:row>
    <x:row r="151">
      <x:c r="A151" s="14" t="str">
        <x:v>AI-005</x:v>
      </x:c>
      <x:c r="B151" s="14" t="str">
        <x:v>AI</x:v>
      </x:c>
      <x:c r="C151" s="14" t="str">
        <x:v>005</x:v>
      </x:c>
      <x:c r="D151" s="14" t="str">
        <x:v>Prompt/input gửi provider phải giảm PII và tuân consent/data processing.</x:v>
      </x:c>
      <x:c r="E151" s="14" t="str"/>
      <x:c r="F151" s="14" t="str"/>
      <x:c r="G151" s="14" t="str">
        <x:v>BN-P0-011</x:v>
      </x:c>
      <x:c r="H151" s="14" t="str">
        <x:v>Mapped</x:v>
      </x:c>
    </x:row>
    <x:row r="152">
      <x:c r="A152" s="14" t="str">
        <x:v>AI-006</x:v>
      </x:c>
      <x:c r="B152" s="14" t="str">
        <x:v>AI</x:v>
      </x:c>
      <x:c r="C152" s="14" t="str">
        <x:v>006</x:v>
      </x:c>
      <x:c r="D152" s="14" t="str">
        <x:v>Có timeout, retry giới hạn, circuit breaker, fallback và cost budget.</x:v>
      </x:c>
      <x:c r="E152" s="14" t="str"/>
      <x:c r="F152" s="14" t="str"/>
      <x:c r="G152" s="14" t="str">
        <x:v>BN-P0-011</x:v>
      </x:c>
      <x:c r="H152" s="14" t="str">
        <x:v>Mapped</x:v>
      </x:c>
    </x:row>
    <x:row r="153">
      <x:c r="A153" s="14" t="str">
        <x:v>AI-007</x:v>
      </x:c>
      <x:c r="B153" s="14" t="str">
        <x:v>AI</x:v>
      </x:c>
      <x:c r="C153" s="14" t="str">
        <x:v>007</x:v>
      </x:c>
      <x:c r="D153" s="14" t="str">
        <x:v>AI-generated recipe/community content phải gắn provenance và đi qua validation trước verified status.</x:v>
      </x:c>
      <x:c r="E153" s="14" t="str"/>
      <x:c r="F153" s="14" t="str"/>
      <x:c r="G153" s="14" t="str">
        <x:v>BN-P0-011</x:v>
      </x:c>
      <x:c r="H153" s="14" t="str">
        <x:v>Mapped</x:v>
      </x:c>
    </x:row>
    <x:row r="154">
      <x:c r="A154" s="14" t="str">
        <x:v>AI-008</x:v>
      </x:c>
      <x:c r="B154" s="14" t="str">
        <x:v>AI</x:v>
      </x:c>
      <x:c r="C154" s="14" t="str">
        <x:v>008</x:v>
      </x:c>
      <x:c r="D154" s="14" t="str">
        <x:v>Taste Match/recommendation không được suy luận thuộc tính nhạy cảm ngoài mục đích product.</x:v>
      </x:c>
      <x:c r="E154" s="14" t="str"/>
      <x:c r="F154" s="14" t="str"/>
      <x:c r="G154" s="14" t="str">
        <x:v>BN-P0-011</x:v>
      </x:c>
      <x:c r="H154" s="14" t="str">
        <x:v>Mapped</x:v>
      </x:c>
    </x:row>
    <x:row r="155">
      <x:c r="A155" s="14" t="str">
        <x:v>AI-009</x:v>
      </x:c>
      <x:c r="B155" s="14" t="str">
        <x:v>AI</x:v>
      </x:c>
      <x:c r="C155" s="14" t="str">
        <x:v>009</x:v>
      </x:c>
      <x:c r="D155" s="14" t="str">
        <x:v>Rescue/safety response có rule-based safety layer ưu tiên hơn generative response.</x:v>
      </x:c>
      <x:c r="E155" s="14" t="str"/>
      <x:c r="F155" s="14" t="str"/>
      <x:c r="G155" s="14" t="str">
        <x:v>BN-P0-011</x:v>
      </x:c>
      <x:c r="H155" s="14" t="str">
        <x:v>Mapped</x:v>
      </x:c>
    </x:row>
    <x:row r="156">
      <x:c r="A156" s="14" t="str">
        <x:v>AI-010</x:v>
      </x:c>
      <x:c r="B156" s="14" t="str">
        <x:v>AI</x:v>
      </x:c>
      <x:c r="C156" s="14" t="str">
        <x:v>010</x:v>
      </x:c>
      <x:c r="D156" s="14" t="str">
        <x:v>User có thể hiểu/chỉnh preference đã học và reset personalization.</x:v>
      </x:c>
      <x:c r="E156" s="14" t="str"/>
      <x:c r="F156" s="14" t="str"/>
      <x:c r="G156" s="14" t="str">
        <x:v>BN-P0-011</x:v>
      </x:c>
      <x:c r="H156" s="14" t="str">
        <x:v>Mapped</x:v>
      </x:c>
    </x:row>
    <x:row r="157">
      <x:c r="A157" s="14" t="str">
        <x:v>NFR-PERF-001</x:v>
      </x:c>
      <x:c r="B157" s="14" t="str">
        <x:v>NFR</x:v>
      </x:c>
      <x:c r="C157" s="14" t="str">
        <x:v>PERF</x:v>
      </x:c>
      <x:c r="D157" s="14" t="str">
        <x:v>API read p95 &lt; 400 ms trong điều kiện bình thường; write p95 &lt; 700 ms, trừ AI/async job.</x:v>
      </x:c>
      <x:c r="E157" s="14" t="str"/>
      <x:c r="F157" s="14" t="str"/>
      <x:c r="G157" s="14" t="str">
        <x:v>Cross-cutting hardening backlog</x:v>
      </x:c>
      <x:c r="H157" s="14" t="str">
        <x:v>Mapped</x:v>
      </x:c>
    </x:row>
    <x:row r="158">
      <x:c r="A158" s="14" t="str">
        <x:v>NFR-PERF-002</x:v>
      </x:c>
      <x:c r="B158" s="14" t="str">
        <x:v>NFR</x:v>
      </x:c>
      <x:c r="C158" s="14" t="str">
        <x:v>PERF</x:v>
      </x:c>
      <x:c r="D158" s="14" t="str">
        <x:v>Recipe detail first meaningful content &lt; 2.5s trên mạng di động phổ biến; cached content nhanh hơn.</x:v>
      </x:c>
      <x:c r="E158" s="14" t="str"/>
      <x:c r="F158" s="14" t="str"/>
      <x:c r="G158" s="14" t="str">
        <x:v>Cross-cutting hardening backlog</x:v>
      </x:c>
      <x:c r="H158" s="14" t="str">
        <x:v>Mapped</x:v>
      </x:c>
    </x:row>
    <x:row r="159">
      <x:c r="A159" s="14" t="str">
        <x:v>NFR-PERF-003</x:v>
      </x:c>
      <x:c r="B159" s="14" t="str">
        <x:v>NFR</x:v>
      </x:c>
      <x:c r="C159" s="14" t="str">
        <x:v>PERF</x:v>
      </x:c>
      <x:c r="D159" s="14" t="str">
        <x:v>Search p95 &lt; 800 ms; autocomplete &lt; 250 ms.</x:v>
      </x:c>
      <x:c r="E159" s="14" t="str"/>
      <x:c r="F159" s="14" t="str"/>
      <x:c r="G159" s="14" t="str">
        <x:v>Cross-cutting hardening backlog</x:v>
      </x:c>
      <x:c r="H159" s="14" t="str">
        <x:v>Mapped</x:v>
      </x:c>
    </x:row>
    <x:row r="160">
      <x:c r="A160" s="14" t="str">
        <x:v>NFR-SCALE-001</x:v>
      </x:c>
      <x:c r="B160" s="14" t="str">
        <x:v>NFR</x:v>
      </x:c>
      <x:c r="C160" s="14" t="str">
        <x:v>SCALE</x:v>
      </x:c>
      <x:c r="D160" s="14" t="str">
        <x:v>Thiết kế hỗ trợ tăng từ 10k → 1M MAU mà không phải rewrite domain model cốt lõi.</x:v>
      </x:c>
      <x:c r="E160" s="14" t="str"/>
      <x:c r="F160" s="14" t="str"/>
      <x:c r="G160" s="14" t="str">
        <x:v>Cross-cutting hardening backlog</x:v>
      </x:c>
      <x:c r="H160" s="14" t="str">
        <x:v>Mapped</x:v>
      </x:c>
    </x:row>
    <x:row r="161">
      <x:c r="A161" s="14" t="str">
        <x:v>NFR-AVL-001</x:v>
      </x:c>
      <x:c r="B161" s="14" t="str">
        <x:v>NFR</x:v>
      </x:c>
      <x:c r="C161" s="14" t="str">
        <x:v>AVL</x:v>
      </x:c>
      <x:c r="D161" s="14" t="str">
        <x:v>Core read/cook flows mục tiêu 99.9% monthly availability; admin/social có thể thấp hơn theo SLO.</x:v>
      </x:c>
      <x:c r="E161" s="14" t="str"/>
      <x:c r="F161" s="14" t="str"/>
      <x:c r="G161" s="14" t="str">
        <x:v>Cross-cutting hardening backlog</x:v>
      </x:c>
      <x:c r="H161" s="14" t="str">
        <x:v>Mapped</x:v>
      </x:c>
    </x:row>
    <x:row r="162">
      <x:c r="A162" s="14" t="str">
        <x:v>NFR-REL-001</x:v>
      </x:c>
      <x:c r="B162" s="14" t="str">
        <x:v>NFR</x:v>
      </x:c>
      <x:c r="C162" s="14" t="str">
        <x:v>REL</x:v>
      </x:c>
      <x:c r="D162" s="14" t="str">
        <x:v>Không mất cook session/feedback/payment event đã acknowledged; dùng idempotency và retry.</x:v>
      </x:c>
      <x:c r="E162" s="14" t="str"/>
      <x:c r="F162" s="14" t="str"/>
      <x:c r="G162" s="14" t="str">
        <x:v>Cross-cutting hardening backlog</x:v>
      </x:c>
      <x:c r="H162" s="14" t="str">
        <x:v>Mapped</x:v>
      </x:c>
    </x:row>
    <x:row r="163">
      <x:c r="A163" s="14" t="str">
        <x:v>NFR-OFF-001</x:v>
      </x:c>
      <x:c r="B163" s="14" t="str">
        <x:v>NFR</x:v>
      </x:c>
      <x:c r="C163" s="14" t="str">
        <x:v>OFF</x:v>
      </x:c>
      <x:c r="D163" s="14" t="str">
        <x:v>Cook Mode cho recipe đã cache hoạt động khi mất mạng; sync eventual khi online.</x:v>
      </x:c>
      <x:c r="E163" s="14" t="str"/>
      <x:c r="F163" s="14" t="str"/>
      <x:c r="G163" s="14" t="str">
        <x:v>Cross-cutting hardening backlog</x:v>
      </x:c>
      <x:c r="H163" s="14" t="str">
        <x:v>Mapped</x:v>
      </x:c>
    </x:row>
    <x:row r="164">
      <x:c r="A164" s="14" t="str">
        <x:v>NFR-SEC-001</x:v>
      </x:c>
      <x:c r="B164" s="14" t="str">
        <x:v>NFR</x:v>
      </x:c>
      <x:c r="C164" s="14" t="str">
        <x:v>SEC</x:v>
      </x:c>
      <x:c r="D164" s="14" t="str">
        <x:v>TLS in transit, encryption at rest, secret manager, MFA bắt buộc cho admin privileged role.</x:v>
      </x:c>
      <x:c r="E164" s="14" t="str"/>
      <x:c r="F164" s="14" t="str"/>
      <x:c r="G164" s="14" t="str">
        <x:v>BN-P0-006</x:v>
      </x:c>
      <x:c r="H164" s="14" t="str">
        <x:v>Mapped</x:v>
      </x:c>
    </x:row>
    <x:row r="165">
      <x:c r="A165" s="14" t="str">
        <x:v>NFR-SEC-002</x:v>
      </x:c>
      <x:c r="B165" s="14" t="str">
        <x:v>NFR</x:v>
      </x:c>
      <x:c r="C165" s="14" t="str">
        <x:v>SEC</x:v>
      </x:c>
      <x:c r="D165" s="14" t="str">
        <x:v>OWASP ASVS/MASVS-aligned controls; dependency/container scanning trong CI.</x:v>
      </x:c>
      <x:c r="E165" s="14" t="str"/>
      <x:c r="F165" s="14" t="str"/>
      <x:c r="G165" s="14" t="str">
        <x:v>BN-P0-006</x:v>
      </x:c>
      <x:c r="H165" s="14" t="str">
        <x:v>Mapped</x:v>
      </x:c>
    </x:row>
    <x:row r="166">
      <x:c r="A166" s="14" t="str">
        <x:v>NFR-SEC-003</x:v>
      </x:c>
      <x:c r="B166" s="14" t="str">
        <x:v>NFR</x:v>
      </x:c>
      <x:c r="C166" s="14" t="str">
        <x:v>SEC</x:v>
      </x:c>
      <x:c r="D166" s="14" t="str">
        <x:v>Rate limit, bot/spam protection, abuse detection cho auth/social/public API.</x:v>
      </x:c>
      <x:c r="E166" s="14" t="str"/>
      <x:c r="F166" s="14" t="str"/>
      <x:c r="G166" s="14" t="str">
        <x:v>BN-P0-006</x:v>
      </x:c>
      <x:c r="H166" s="14" t="str">
        <x:v>Mapped</x:v>
      </x:c>
    </x:row>
    <x:row r="167">
      <x:c r="A167" s="14" t="str">
        <x:v>NFR-PRV-001</x:v>
      </x:c>
      <x:c r="B167" s="14" t="str">
        <x:v>NFR</x:v>
      </x:c>
      <x:c r="C167" s="14" t="str">
        <x:v>PRV</x:v>
      </x:c>
      <x:c r="D167" s="14" t="str">
        <x:v>Data minimization, purpose limitation, consent versioning, export/delete flows.</x:v>
      </x:c>
      <x:c r="E167" s="14" t="str"/>
      <x:c r="F167" s="14" t="str"/>
      <x:c r="G167" s="14" t="str">
        <x:v>Cross-cutting hardening backlog</x:v>
      </x:c>
      <x:c r="H167" s="14" t="str">
        <x:v>Mapped</x:v>
      </x:c>
    </x:row>
    <x:row r="168">
      <x:c r="A168" s="14" t="str">
        <x:v>NFR-PRV-002</x:v>
      </x:c>
      <x:c r="B168" s="14" t="str">
        <x:v>NFR</x:v>
      </x:c>
      <x:c r="C168" s="14" t="str">
        <x:v>PRV</x:v>
      </x:c>
      <x:c r="D168" s="14" t="str">
        <x:v>PII tách khỏi analytics identifiers khi khả thi; log không chứa secret/raw sensitive data.</x:v>
      </x:c>
      <x:c r="E168" s="14" t="str"/>
      <x:c r="F168" s="14" t="str"/>
      <x:c r="G168" s="14" t="str">
        <x:v>Cross-cutting hardening backlog</x:v>
      </x:c>
      <x:c r="H168" s="14" t="str">
        <x:v>Mapped</x:v>
      </x:c>
    </x:row>
    <x:row r="169">
      <x:c r="A169" s="14" t="str">
        <x:v>NFR-A11Y-001</x:v>
      </x:c>
      <x:c r="B169" s="14" t="str">
        <x:v>NFR</x:v>
      </x:c>
      <x:c r="C169" s="14" t="str">
        <x:v>A11Y</x:v>
      </x:c>
      <x:c r="D169" s="14" t="str">
        <x:v>Mục tiêu WCAG 2.2 AA cho web và equivalent accessibility cho mobile.</x:v>
      </x:c>
      <x:c r="E169" s="14" t="str"/>
      <x:c r="F169" s="14" t="str"/>
      <x:c r="G169" s="14" t="str">
        <x:v>Cross-cutting hardening backlog</x:v>
      </x:c>
      <x:c r="H169" s="14" t="str">
        <x:v>Mapped</x:v>
      </x:c>
    </x:row>
    <x:row r="170">
      <x:c r="A170" s="14" t="str">
        <x:v>NFR-I18N-001</x:v>
      </x:c>
      <x:c r="B170" s="14" t="str">
        <x:v>NFR</x:v>
      </x:c>
      <x:c r="C170" s="14" t="str">
        <x:v>I18N</x:v>
      </x:c>
      <x:c r="D170" s="14" t="str">
        <x:v>Toàn bộ UI copy externalized; canonical unit/timezone/locale support.</x:v>
      </x:c>
      <x:c r="E170" s="14" t="str"/>
      <x:c r="F170" s="14" t="str"/>
      <x:c r="G170" s="14" t="str">
        <x:v>Cross-cutting hardening backlog</x:v>
      </x:c>
      <x:c r="H170" s="14" t="str">
        <x:v>Mapped</x:v>
      </x:c>
    </x:row>
    <x:row r="171">
      <x:c r="A171" s="14" t="str">
        <x:v>NFR-COMP-001</x:v>
      </x:c>
      <x:c r="B171" s="14" t="str">
        <x:v>NFR</x:v>
      </x:c>
      <x:c r="C171" s="14" t="str">
        <x:v>COMP</x:v>
      </x:c>
      <x:c r="D171" s="14" t="str">
        <x:v>Web hỗ trợ 2 phiên bản gần nhất Chrome/Edge/Safari/Firefox; mobile hỗ trợ OS policy được công bố.</x:v>
      </x:c>
      <x:c r="E171" s="14" t="str"/>
      <x:c r="F171" s="14" t="str"/>
      <x:c r="G171" s="14" t="str">
        <x:v>Cross-cutting hardening backlog</x:v>
      </x:c>
      <x:c r="H171" s="14" t="str">
        <x:v>Mapped</x:v>
      </x:c>
    </x:row>
    <x:row r="172">
      <x:c r="A172" s="14" t="str">
        <x:v>NFR-MNT-001</x:v>
      </x:c>
      <x:c r="B172" s="14" t="str">
        <x:v>NFR</x:v>
      </x:c>
      <x:c r="C172" s="14" t="str">
        <x:v>MNT</x:v>
      </x:c>
      <x:c r="D172" s="14" t="str">
        <x:v>API versioning, schema migration backward-compatible, feature flag cho rollout rủi ro.</x:v>
      </x:c>
      <x:c r="E172" s="14" t="str"/>
      <x:c r="F172" s="14" t="str"/>
      <x:c r="G172" s="14" t="str">
        <x:v>BN-P0-003, BN-P0-007</x:v>
      </x:c>
      <x:c r="H172" s="14" t="str">
        <x:v>Mapped</x:v>
      </x:c>
    </x:row>
    <x:row r="173">
      <x:c r="A173" s="14" t="str">
        <x:v>NFR-OBS-001</x:v>
      </x:c>
      <x:c r="B173" s="14" t="str">
        <x:v>NFR</x:v>
      </x:c>
      <x:c r="C173" s="14" t="str">
        <x:v>OBS</x:v>
      </x:c>
      <x:c r="D173" s="14" t="str">
        <x:v>Structured logs, metrics, traces, audit logs và alert theo SLO.</x:v>
      </x:c>
      <x:c r="E173" s="14" t="str"/>
      <x:c r="F173" s="14" t="str"/>
      <x:c r="G173" s="14" t="str">
        <x:v>BN-P0-005</x:v>
      </x:c>
      <x:c r="H173" s="14" t="str">
        <x:v>Mapped</x:v>
      </x:c>
    </x:row>
    <x:row r="174">
      <x:c r="A174" s="14" t="str">
        <x:v>NFR-DR-001</x:v>
      </x:c>
      <x:c r="B174" s="14" t="str">
        <x:v>NFR</x:v>
      </x:c>
      <x:c r="C174" s="14" t="str">
        <x:v>DR</x:v>
      </x:c>
      <x:c r="D174" s="14" t="str">
        <x:v>RPO mục tiêu &lt;= 15 phút cho transactional DB; RTO &lt;= 4 giờ ở giai đoạn scale, kiểm thử phục hồi định kỳ.</x:v>
      </x:c>
      <x:c r="E174" s="14" t="str"/>
      <x:c r="F174" s="14" t="str"/>
      <x:c r="G174" s="14" t="str">
        <x:v>Cross-cutting hardening backlog</x:v>
      </x:c>
      <x:c r="H174" s="14" t="str">
        <x:v>Mapped</x:v>
      </x:c>
    </x:row>
    <x:row r="175">
      <x:c r="A175" s="14" t="str">
        <x:v>NFR-COST-001</x:v>
      </x:c>
      <x:c r="B175" s="14" t="str">
        <x:v>NFR</x:v>
      </x:c>
      <x:c r="C175" s="14" t="str">
        <x:v>COST</x:v>
      </x:c>
      <x:c r="D175" s="14" t="str">
        <x:v>AI inference có quota/cache/model routing; cost per active user được theo dõi.</x:v>
      </x:c>
      <x:c r="E175" s="14" t="str"/>
      <x:c r="F175" s="14" t="str"/>
      <x:c r="G175" s="14" t="str">
        <x:v>BN-P0-011</x:v>
      </x:c>
      <x:c r="H175" s="14" t="str">
        <x:v>Mapped</x:v>
      </x:c>
    </x:row>
    <x:row r="176">
      <x:c r="A176" s="14" t="str">
        <x:v>NFR-AI-001</x:v>
      </x:c>
      <x:c r="B176" s="14" t="str">
        <x:v>NFR</x:v>
      </x:c>
      <x:c r="C176" s="14" t="str">
        <x:v>AI</x:v>
      </x:c>
      <x:c r="D176" s="14" t="str">
        <x:v>AI response có timeout/fallback; core recipe/cook không phụ thuộc AI realtime để hoạt động.</x:v>
      </x:c>
      <x:c r="E176" s="14" t="str"/>
      <x:c r="F176" s="14" t="str"/>
      <x:c r="G176" s="14" t="str">
        <x:v>BN-P0-011</x:v>
      </x:c>
      <x:c r="H176" s="14" t="str">
        <x:v>Mapped</x:v>
      </x:c>
    </x:row>
    <x:row r="177">
      <x:c r="A177" s="14" t="str">
        <x:v>NFR-QUAL-001</x:v>
      </x:c>
      <x:c r="B177" s="14" t="str">
        <x:v>NFR</x:v>
      </x:c>
      <x:c r="C177" s="14" t="str">
        <x:v>QUAL</x:v>
      </x:c>
      <x:c r="D177" s="14" t="str">
        <x:v>Recipe verified phải qua content validation và structured schema validation trước publish.</x:v>
      </x:c>
      <x:c r="E177" s="14" t="str"/>
      <x:c r="F177" s="14" t="str"/>
      <x:c r="G177" s="14" t="str">
        <x:v>Cross-cutting hardening backlog</x:v>
      </x:c>
      <x:c r="H177" s="14" t="str">
        <x:v>Mapped</x:v>
      </x:c>
    </x:row>
    <x:row r="178">
      <x:c r="A178" s="14" t="str">
        <x:v>NFR-MOD-001</x:v>
      </x:c>
      <x:c r="B178" s="14" t="str">
        <x:v>NFR</x:v>
      </x:c>
      <x:c r="C178" s="14" t="str">
        <x:v>MOD</x:v>
      </x:c>
      <x:c r="D178" s="14" t="str">
        <x:v>Report abuse được ghi nhận ngay và moderation queue không mất sự kiện.</x:v>
      </x:c>
      <x:c r="E178" s="14" t="str"/>
      <x:c r="F178" s="14" t="str"/>
      <x:c r="G178" s="14" t="str">
        <x:v>Cross-cutting hardening backlog</x:v>
      </x:c>
      <x:c r="H178" s="14" t="str">
        <x:v>Mapped</x:v>
      </x:c>
    </x:row>
    <x:row r="179">
      <x:c r="A179" s="14" t="str">
        <x:v>NFR-DATA-001</x:v>
      </x:c>
      <x:c r="B179" s="14" t="str">
        <x:v>NFR</x:v>
      </x:c>
      <x:c r="C179" s="14" t="str">
        <x:v>DATA</x:v>
      </x:c>
      <x:c r="D179" s="14" t="str">
        <x:v>Analytics event schema versioned; late/duplicate event xử lý idempotent hoặc dedupe.</x:v>
      </x:c>
      <x:c r="E179" s="14" t="str"/>
      <x:c r="F179" s="14" t="str"/>
      <x:c r="G179" s="14" t="str">
        <x:v>BN-P0-012</x:v>
      </x:c>
      <x:c r="H179" s="14" t="str">
        <x:v>Mapped</x:v>
      </x:c>
    </x:row>
    <x:row r="180">
      <x:c r="A180" s="14" t="str">
        <x:v>NFR-BACKUP-001</x:v>
      </x:c>
      <x:c r="B180" s="14" t="str">
        <x:v>NFR</x:v>
      </x:c>
      <x:c r="C180" s="14" t="str">
        <x:v>BACKUP</x:v>
      </x:c>
      <x:c r="D180" s="14" t="str">
        <x:v>Backup encrypted, restore test định kỳ và retention nhiều tầng.</x:v>
      </x:c>
      <x:c r="E180" s="14" t="str"/>
      <x:c r="F180" s="14" t="str"/>
      <x:c r="G180" s="14" t="str">
        <x:v>Cross-cutting hardening backlog</x:v>
      </x:c>
      <x:c r="H180" s="14" t="str">
        <x:v>Mapped</x:v>
      </x:c>
    </x:row>
    <x:row r="181">
      <x:c r="A181" s="14" t="str">
        <x:v>NFR-UX-001</x:v>
      </x:c>
      <x:c r="B181" s="14" t="str">
        <x:v>NFR</x:v>
      </x:c>
      <x:c r="C181" s="14" t="str">
        <x:v>UX</x:v>
      </x:c>
      <x:c r="D181" s="14" t="str">
        <x:v>Core flows onboarding → chọn món → cook → feedback không yêu cầu quá nhiều bước; target feedback &lt;=10s.</x:v>
      </x:c>
      <x:c r="E181" s="14" t="str"/>
      <x:c r="F181" s="14" t="str"/>
      <x:c r="G181" s="14" t="str">
        <x:v>Cross-cutting hardening backlog</x:v>
      </x:c>
      <x:c r="H181" s="14" t="str">
        <x:v>Mapped</x:v>
      </x:c>
    </x:row>
    <x:row r="182">
      <x:c r="A182" s="14" t="str">
        <x:v>NFR-STORE-001</x:v>
      </x:c>
      <x:c r="B182" s="14" t="str">
        <x:v>NFR</x:v>
      </x:c>
      <x:c r="C182" s="14" t="str">
        <x:v>STORE</x:v>
      </x:c>
      <x:c r="D182" s="14" t="str">
        <x:v>Mobile đáp ứng yêu cầu App Store/Google Play privacy/billing/permission current policy tại thời điểm release.</x:v>
      </x:c>
      <x:c r="E182" s="14" t="str"/>
      <x:c r="F182" s="14" t="str"/>
      <x:c r="G182" s="14" t="str">
        <x:v>Cross-cutting hardening backlog</x:v>
      </x:c>
      <x:c r="H182" s="14" t="str">
        <x:v>Mapped</x:v>
      </x:c>
    </x:row>
  </x:sheetData>
  <x:pageMargins left="0.7" right="0.7" top="0.75" bottom="0.75" header="0.3" footer="0.3"/>
  <x:tableParts count="1">
    <x:tablePart xmlns:r="http://schemas.openxmlformats.org/officeDocument/2006/relationships" r:id="R2e3f175fbd5d45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0" hidden="0" customWidth="1"/>
    <x:col min="3" max="3" width="40" hidden="0" customWidth="1"/>
  </x:cols>
  <x:sheetData>
    <x:row r="1">
      <x:c r="A1" s="6" t="str">
        <x:v>Category</x:v>
      </x:c>
      <x:c r="B1" s="6" t="str">
        <x:v>Definition of Done / Gate</x:v>
      </x:c>
      <x:c r="C1" s="6" t="str">
        <x:v>Required Evidence</x:v>
      </x:c>
    </x:row>
    <x:row r="2">
      <x:c r="A2" s="12" t="str">
        <x:v>Requirements</x:v>
      </x:c>
      <x:c r="B2" s="12" t="str">
        <x:v>Story references requirement ID(s); acceptance criteria agreed before development.</x:v>
      </x:c>
      <x:c r="C2" s="12" t="str">
        <x:v>Backlog row + linked test cases</x:v>
      </x:c>
    </x:row>
    <x:row r="3">
      <x:c r="A3" s="12" t="str">
        <x:v>Design</x:v>
      </x:c>
      <x:c r="B3" s="12" t="str">
        <x:v>API/data/UX changes reviewed; ADR added for material architectural decisions.</x:v>
      </x:c>
      <x:c r="C3" s="12" t="str">
        <x:v>OpenAPI/data migration/ADR/UX review</x:v>
      </x:c>
    </x:row>
    <x:row r="4">
      <x:c r="A4" s="12" t="str">
        <x:v>Code</x:v>
      </x:c>
      <x:c r="B4" s="12" t="str">
        <x:v>Implementation follows module boundaries, lint/typecheck passes, no secrets or dead code.</x:v>
      </x:c>
      <x:c r="C4" s="12" t="str">
        <x:v>CI logs + code review</x:v>
      </x:c>
    </x:row>
    <x:row r="5">
      <x:c r="A5" s="12" t="str">
        <x:v>Database</x:v>
      </x:c>
      <x:c r="B5" s="12" t="str">
        <x:v>Migration forward path tested; destructive changes have safe migration strategy; indexes reviewed.</x:v>
      </x:c>
      <x:c r="C5" s="12" t="str">
        <x:v>Migration test + query plan when relevant</x:v>
      </x:c>
    </x:row>
    <x:row r="6">
      <x:c r="A6" s="12" t="str">
        <x:v>Security</x:v>
      </x:c>
      <x:c r="B6" s="12" t="str">
        <x:v>Authorization/object ownership validated; inputs/rate limits/uploads reviewed; privileged actions audited.</x:v>
      </x:c>
      <x:c r="C6" s="12" t="str">
        <x:v>Security test checklist</x:v>
      </x:c>
    </x:row>
    <x:row r="7">
      <x:c r="A7" s="12" t="str">
        <x:v>Privacy</x:v>
      </x:c>
      <x:c r="B7" s="12" t="str">
        <x:v>Purpose/consent/data minimization respected; logs/events scrub sensitive data.</x:v>
      </x:c>
      <x:c r="C7" s="12" t="str">
        <x:v>Privacy checklist + event review</x:v>
      </x:c>
    </x:row>
    <x:row r="8">
      <x:c r="A8" s="12" t="str">
        <x:v>AI/Data</x:v>
      </x:c>
      <x:c r="B8" s="12" t="str">
        <x:v>Structured output validated; prompt/model/version logged; deterministic guardrail and fallback tested.</x:v>
      </x:c>
      <x:c r="C8" s="12" t="str">
        <x:v>Golden tests + fallback test</x:v>
      </x:c>
    </x:row>
    <x:row r="9">
      <x:c r="A9" s="12" t="str">
        <x:v>Testing</x:v>
      </x:c>
      <x:c r="B9" s="12" t="str">
        <x:v>Unit + integration + E2E happy/negative cases pass; regression suite updated.</x:v>
      </x:c>
      <x:c r="C9" s="12" t="str">
        <x:v>Test report</x:v>
      </x:c>
    </x:row>
    <x:row r="10">
      <x:c r="A10" s="12" t="str">
        <x:v>Performance</x:v>
      </x:c>
      <x:c r="B10" s="12" t="str">
        <x:v>No unacceptable regression; critical path p95 target verified where relevant.</x:v>
      </x:c>
      <x:c r="C10" s="12" t="str">
        <x:v>Load/perf result</x:v>
      </x:c>
    </x:row>
    <x:row r="11">
      <x:c r="A11" s="12" t="str">
        <x:v>Observability</x:v>
      </x:c>
      <x:c r="B11" s="12" t="str">
        <x:v>Relevant logs/metrics/traces/business counters added; alert/runbook updated for critical services.</x:v>
      </x:c>
      <x:c r="C11" s="12" t="str">
        <x:v>Dashboard/trace/runbook</x:v>
      </x:c>
    </x:row>
    <x:row r="12">
      <x:c r="A12" s="12" t="str">
        <x:v>Accessibility</x:v>
      </x:c>
      <x:c r="B12" s="12" t="str">
        <x:v>UI meets keyboard/screen-reader/text-scale/contrast criteria for impacted surface.</x:v>
      </x:c>
      <x:c r="C12" s="12" t="str">
        <x:v>A11y test evidence</x:v>
      </x:c>
    </x:row>
    <x:row r="13">
      <x:c r="A13" s="12" t="str">
        <x:v>Documentation</x:v>
      </x:c>
      <x:c r="B13" s="12" t="str">
        <x:v>README/API/data model/runbook/release notes updated.</x:v>
      </x:c>
      <x:c r="C13" s="12" t="str">
        <x:v>Docs diff</x:v>
      </x:c>
    </x:row>
    <x:row r="14">
      <x:c r="A14" s="12" t="str">
        <x:v>Release</x:v>
      </x:c>
      <x:c r="B14" s="12" t="str">
        <x:v>Feature flag/rollback plan present for risky change; smoke test after deploy.</x:v>
      </x:c>
      <x:c r="C14" s="12" t="str">
        <x:v>Release checklist</x:v>
      </x:c>
    </x:row>
  </x:sheetData>
  <x:pageMargins left="0.7" right="0.7" top="0.75" bottom="0.75" header="0.3" footer="0.3"/>
  <x:tableParts count="1">
    <x:tablePart xmlns:r="http://schemas.openxmlformats.org/officeDocument/2006/relationships" r:id="R3b1cca2ffc984743"/>
  </x:tableParts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Phase</x:v>
      </x:c>
      <x:c r="D1" t="str">
        <x:v>Owner</x:v>
      </x:c>
    </x:row>
    <x:row r="2">
      <x:c r="A2" t="str">
        <x:v>Not Started</x:v>
      </x:c>
      <x:c r="B2" t="str">
        <x:v>Must</x:v>
      </x:c>
      <x:c r="C2" t="str">
        <x:v>P0 Foundation</x:v>
      </x:c>
      <x:c r="D2" t="str">
        <x:v>Unassigned</x:v>
      </x:c>
    </x:row>
    <x:row r="3">
      <x:c r="A3" t="str">
        <x:v>Ready</x:v>
      </x:c>
      <x:c r="B3" t="str">
        <x:v>Should</x:v>
      </x:c>
      <x:c r="C3" t="str">
        <x:v>P1 Core Cooking</x:v>
      </x:c>
      <x:c r="D3" t="str">
        <x:v>Product</x:v>
      </x:c>
    </x:row>
    <x:row r="4">
      <x:c r="A4" t="str">
        <x:v>In Progress</x:v>
      </x:c>
      <x:c r="B4" t="str">
        <x:v>Could</x:v>
      </x:c>
      <x:c r="C4" t="str">
        <x:v>P2 Personalization</x:v>
      </x:c>
      <x:c r="D4" t="str">
        <x:v>Frontend</x:v>
      </x:c>
    </x:row>
    <x:row r="5">
      <x:c r="A5" t="str">
        <x:v>Blocked</x:v>
      </x:c>
      <x:c r="C5" t="str">
        <x:v>P3 Household &amp; Planning</x:v>
      </x:c>
      <x:c r="D5" t="str">
        <x:v>Backend</x:v>
      </x:c>
    </x:row>
    <x:row r="6">
      <x:c r="A6" t="str">
        <x:v>In Review</x:v>
      </x:c>
      <x:c r="C6" t="str">
        <x:v>P4 Utility</x:v>
      </x:c>
      <x:c r="D6" t="str">
        <x:v>Data/AI</x:v>
      </x:c>
    </x:row>
    <x:row r="7">
      <x:c r="A7" t="str">
        <x:v>Done</x:v>
      </x:c>
      <x:c r="C7" t="str">
        <x:v>P5 Discovery &amp; Social</x:v>
      </x:c>
      <x:c r="D7" t="str">
        <x:v>QA</x:v>
      </x:c>
    </x:row>
    <x:row r="8">
      <x:c r="A8" t="str">
        <x:v>Deferred</x:v>
      </x:c>
      <x:c r="C8" t="str">
        <x:v>P6 Business &amp; Growth</x:v>
      </x:c>
      <x:c r="D8" t="str">
        <x:v>DevOps</x:v>
      </x:c>
    </x:row>
    <x:row r="9">
      <x:c r="C9" t="str">
        <x:v>P7 Production &amp; Native</x:v>
      </x:c>
      <x:c r="D9" t="str">
        <x:v>Content</x:v>
      </x:c>
    </x:row>
    <x:row r="10">
      <x:c r="D10" t="str">
        <x:v>Growth</x:v>
      </x:c>
    </x:row>
    <x:row r="11">
      <x:c r="D11" t="str">
        <x:v>Security</x:v>
      </x:c>
    </x:row>
  </x:sheetData>
  <x:pageMargins left="0.7" right="0.7" top="0.75" bottom="0.75" header="0.3" footer="0.3"/>
</x:worksheet>
</file>